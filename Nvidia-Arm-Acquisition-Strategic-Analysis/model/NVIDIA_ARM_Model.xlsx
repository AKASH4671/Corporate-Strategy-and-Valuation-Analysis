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kash Ghosal\Desktop\Essentials\MS Prep\Certs, case study and research paper\Case Study\Case Study B - NVIDIA ARM Acquisition\Model\"/>
    </mc:Choice>
  </mc:AlternateContent>
  <xr:revisionPtr revIDLastSave="0" documentId="13_ncr:1_{31841C1E-47BC-4363-BD65-3905CB7BD8D5}" xr6:coauthVersionLast="47" xr6:coauthVersionMax="47" xr10:uidLastSave="{00000000-0000-0000-0000-000000000000}"/>
  <bookViews>
    <workbookView xWindow="-90" yWindow="0" windowWidth="12980" windowHeight="14490" firstSheet="6" activeTab="8" xr2:uid="{00000000-000D-0000-FFFF-FFFF00000000}"/>
  </bookViews>
  <sheets>
    <sheet name="Cover_Version" sheetId="1" r:id="rId1"/>
    <sheet name="Assumptions" sheetId="2" r:id="rId2"/>
    <sheet name="RawFin_NVIDIA" sheetId="3" r:id="rId3"/>
    <sheet name="RawFin_ARM" sheetId="4" r:id="rId4"/>
    <sheet name="DCF_ARM" sheetId="6" r:id="rId5"/>
    <sheet name="BULL_DCF" sheetId="18" r:id="rId6"/>
    <sheet name="BEAR_DCF" sheetId="19" r:id="rId7"/>
    <sheet name="Sensitivity" sheetId="14" r:id="rId8"/>
    <sheet name="Charts" sheetId="1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4" l="1"/>
  <c r="C4" i="14"/>
  <c r="C5" i="14" l="1"/>
  <c r="B7" i="14"/>
  <c r="B6" i="14"/>
  <c r="B5" i="14"/>
  <c r="B4" i="14"/>
  <c r="F3" i="14"/>
  <c r="E3" i="14"/>
  <c r="D3" i="14"/>
  <c r="D4" i="14"/>
  <c r="D5" i="14"/>
  <c r="C3" i="14" l="1"/>
  <c r="B19" i="6"/>
  <c r="G33" i="19"/>
  <c r="F33" i="19"/>
  <c r="E33" i="19"/>
  <c r="D33" i="19"/>
  <c r="C33" i="19"/>
  <c r="B26" i="19"/>
  <c r="B25" i="19"/>
  <c r="B24" i="19"/>
  <c r="B23" i="19"/>
  <c r="B19" i="19"/>
  <c r="C3" i="19"/>
  <c r="C23" i="19" s="1"/>
  <c r="C11" i="18"/>
  <c r="C17" i="18"/>
  <c r="D3" i="18"/>
  <c r="E3" i="18" s="1"/>
  <c r="C3" i="18"/>
  <c r="G33" i="18"/>
  <c r="F33" i="18"/>
  <c r="E33" i="18"/>
  <c r="D33" i="18"/>
  <c r="C33" i="18"/>
  <c r="D25" i="18"/>
  <c r="C25" i="18"/>
  <c r="B25" i="18"/>
  <c r="D24" i="18"/>
  <c r="C24" i="18"/>
  <c r="B24" i="18"/>
  <c r="D23" i="18"/>
  <c r="C23" i="18"/>
  <c r="B23" i="18"/>
  <c r="B19" i="18"/>
  <c r="B26" i="18" s="1"/>
  <c r="D17" i="18"/>
  <c r="D19" i="18" s="1"/>
  <c r="C19" i="18"/>
  <c r="C26" i="18" s="1"/>
  <c r="C34" i="18" s="1"/>
  <c r="D11" i="18"/>
  <c r="C11" i="6"/>
  <c r="B36" i="6"/>
  <c r="G35" i="6"/>
  <c r="G32" i="6"/>
  <c r="D34" i="6"/>
  <c r="E34" i="6"/>
  <c r="F34" i="6"/>
  <c r="G34" i="6"/>
  <c r="C34" i="6"/>
  <c r="G33" i="6"/>
  <c r="F33" i="6"/>
  <c r="E33" i="6"/>
  <c r="D33" i="6"/>
  <c r="C33" i="6"/>
  <c r="C26" i="6"/>
  <c r="D26" i="6"/>
  <c r="E26" i="6"/>
  <c r="F26" i="6"/>
  <c r="G26" i="6"/>
  <c r="B26" i="6"/>
  <c r="B25" i="6"/>
  <c r="C25" i="6"/>
  <c r="D25" i="6"/>
  <c r="E25" i="6"/>
  <c r="F25" i="6"/>
  <c r="G25" i="6"/>
  <c r="C24" i="6"/>
  <c r="D24" i="6"/>
  <c r="E24" i="6"/>
  <c r="F24" i="6"/>
  <c r="G24" i="6"/>
  <c r="B24" i="6"/>
  <c r="E23" i="6"/>
  <c r="D23" i="6"/>
  <c r="C23" i="6"/>
  <c r="F23" i="6"/>
  <c r="G23" i="6"/>
  <c r="B23" i="6"/>
  <c r="G19" i="6"/>
  <c r="F19" i="6"/>
  <c r="E19" i="6"/>
  <c r="D19" i="6"/>
  <c r="C19" i="6"/>
  <c r="D17" i="6"/>
  <c r="E17" i="6"/>
  <c r="F17" i="6"/>
  <c r="G17" i="6"/>
  <c r="C17" i="6"/>
  <c r="D11" i="6"/>
  <c r="E11" i="6"/>
  <c r="F11" i="6"/>
  <c r="G11" i="6"/>
  <c r="D3" i="19" l="1"/>
  <c r="C11" i="19"/>
  <c r="C24" i="19"/>
  <c r="C17" i="19"/>
  <c r="C19" i="19" s="1"/>
  <c r="C25" i="19"/>
  <c r="E24" i="18"/>
  <c r="F3" i="18"/>
  <c r="E23" i="18"/>
  <c r="E17" i="18"/>
  <c r="E19" i="18" s="1"/>
  <c r="E25" i="18"/>
  <c r="E11" i="18"/>
  <c r="D26" i="18"/>
  <c r="D34" i="18" s="1"/>
  <c r="C26" i="19" l="1"/>
  <c r="C34" i="19" s="1"/>
  <c r="D25" i="19"/>
  <c r="D11" i="19"/>
  <c r="E3" i="19"/>
  <c r="D17" i="19"/>
  <c r="D19" i="19" s="1"/>
  <c r="D24" i="19"/>
  <c r="D23" i="19"/>
  <c r="F11" i="18"/>
  <c r="F24" i="18"/>
  <c r="F23" i="18"/>
  <c r="F25" i="18"/>
  <c r="G3" i="18"/>
  <c r="F17" i="18"/>
  <c r="F19" i="18" s="1"/>
  <c r="F26" i="18" s="1"/>
  <c r="F34" i="18" s="1"/>
  <c r="E26" i="18"/>
  <c r="E34" i="18" s="1"/>
  <c r="D26" i="19" l="1"/>
  <c r="D34" i="19" s="1"/>
  <c r="F3" i="19"/>
  <c r="E25" i="19"/>
  <c r="E17" i="19"/>
  <c r="E19" i="19" s="1"/>
  <c r="E24" i="19"/>
  <c r="E11" i="19"/>
  <c r="E23" i="19"/>
  <c r="G17" i="18"/>
  <c r="G19" i="18" s="1"/>
  <c r="G23" i="18"/>
  <c r="G25" i="18"/>
  <c r="G11" i="18"/>
  <c r="G24" i="18"/>
  <c r="E26" i="19" l="1"/>
  <c r="E34" i="19" s="1"/>
  <c r="F25" i="19"/>
  <c r="F17" i="19"/>
  <c r="F19" i="19" s="1"/>
  <c r="F23" i="19"/>
  <c r="G3" i="19"/>
  <c r="F24" i="19"/>
  <c r="F11" i="19"/>
  <c r="G26" i="18"/>
  <c r="G23" i="19" l="1"/>
  <c r="G17" i="19"/>
  <c r="G19" i="19" s="1"/>
  <c r="G24" i="19"/>
  <c r="G11" i="19"/>
  <c r="G25" i="19"/>
  <c r="F26" i="19"/>
  <c r="F34" i="19" s="1"/>
  <c r="G34" i="18"/>
  <c r="G32" i="18"/>
  <c r="G35" i="18" s="1"/>
  <c r="G26" i="19" l="1"/>
  <c r="B36" i="18"/>
  <c r="G34" i="19" l="1"/>
  <c r="G32" i="19"/>
  <c r="G35" i="19" s="1"/>
  <c r="B36" i="19" s="1"/>
</calcChain>
</file>

<file path=xl/sharedStrings.xml><?xml version="1.0" encoding="utf-8"?>
<sst xmlns="http://schemas.openxmlformats.org/spreadsheetml/2006/main" count="322" uniqueCount="109">
  <si>
    <t>Value</t>
  </si>
  <si>
    <t>INCOME STATEMENT</t>
  </si>
  <si>
    <t>FY2022</t>
  </si>
  <si>
    <t>FY2023</t>
  </si>
  <si>
    <t>FY2024</t>
  </si>
  <si>
    <t>Revenue</t>
  </si>
  <si>
    <t>Gross Profit</t>
  </si>
  <si>
    <t>Operating Exp</t>
  </si>
  <si>
    <t>EBIT</t>
  </si>
  <si>
    <t>Net Income</t>
  </si>
  <si>
    <t>BALANCE SHEET</t>
  </si>
  <si>
    <t>Cash</t>
  </si>
  <si>
    <t>Total Assets</t>
  </si>
  <si>
    <t>Total Liabilities</t>
  </si>
  <si>
    <t>Total Equity</t>
  </si>
  <si>
    <t>CASH FLOW STATEMENT</t>
  </si>
  <si>
    <t>Net Change Cash</t>
  </si>
  <si>
    <t>MODEL: NVIDIA × Arm Acquisition Case Study (2026)</t>
  </si>
  <si>
    <t>Model Structure Overview</t>
  </si>
  <si>
    <t>Assumptions</t>
  </si>
  <si>
    <t>Raw Financials: NVIDIA</t>
  </si>
  <si>
    <t>Raw Financials: Arm</t>
  </si>
  <si>
    <t>DCF (Arm Standalone)</t>
  </si>
  <si>
    <t>Sensitivity &amp; Scenario Analysis</t>
  </si>
  <si>
    <r>
      <rPr>
        <b/>
        <sz val="16"/>
        <color rgb="FF0070C0"/>
        <rFont val="Calibri"/>
        <family val="2"/>
        <scheme val="minor"/>
      </rPr>
      <t>Author:</t>
    </r>
    <r>
      <rPr>
        <sz val="16"/>
        <color theme="1"/>
        <rFont val="Calibri"/>
        <family val="2"/>
        <scheme val="minor"/>
      </rPr>
      <t xml:space="preserve"> Akash Ghosal</t>
    </r>
  </si>
  <si>
    <r>
      <rPr>
        <b/>
        <sz val="16"/>
        <color rgb="FF0070C0"/>
        <rFont val="Calibri"/>
        <family val="2"/>
        <scheme val="minor"/>
      </rPr>
      <t>Model Type:</t>
    </r>
    <r>
      <rPr>
        <sz val="16"/>
        <color theme="1"/>
        <rFont val="Calibri"/>
        <family val="2"/>
        <scheme val="minor"/>
      </rPr>
      <t xml:space="preserve"> M&amp;A + Strategic Valuation + Regulatory Risk</t>
    </r>
  </si>
  <si>
    <r>
      <rPr>
        <b/>
        <sz val="16"/>
        <color rgb="FF0070C0"/>
        <rFont val="Calibri"/>
        <family val="2"/>
        <scheme val="minor"/>
      </rPr>
      <t>Version:</t>
    </r>
    <r>
      <rPr>
        <sz val="16"/>
        <color theme="1"/>
        <rFont val="Calibri"/>
        <family val="2"/>
        <scheme val="minor"/>
      </rPr>
      <t xml:space="preserve"> 1.0</t>
    </r>
  </si>
  <si>
    <t>USD millions</t>
  </si>
  <si>
    <t>FY2025</t>
  </si>
  <si>
    <t>Cost of revenue</t>
  </si>
  <si>
    <t>CFO(cash Flow from operations)</t>
  </si>
  <si>
    <t>CFI(cash flow from investing activities)</t>
  </si>
  <si>
    <t>CFF(cash flow from financing activities)</t>
  </si>
  <si>
    <t>EBIT(Operating profit)</t>
  </si>
  <si>
    <t>N/A</t>
  </si>
  <si>
    <t>A) Revenue Forecast Section</t>
  </si>
  <si>
    <t>Year</t>
  </si>
  <si>
    <t>FY2025A</t>
  </si>
  <si>
    <t>FY2026E</t>
  </si>
  <si>
    <t>FY2027E</t>
  </si>
  <si>
    <t>FY2028E</t>
  </si>
  <si>
    <t>FY2029E</t>
  </si>
  <si>
    <t>FY2030E</t>
  </si>
  <si>
    <t>B) Operating Line Items</t>
  </si>
  <si>
    <t>Cost of Sales (% of revenue)</t>
  </si>
  <si>
    <t>R&amp;D (% of revenue)</t>
  </si>
  <si>
    <t>SG&amp;A (% of revenue)</t>
  </si>
  <si>
    <t>Operating Profit (EBIT)</t>
  </si>
  <si>
    <t>Item</t>
  </si>
  <si>
    <t>Tax Rate</t>
  </si>
  <si>
    <t>NOPAT</t>
  </si>
  <si>
    <t>C) Tax, NOPAT</t>
  </si>
  <si>
    <t>D) Free Cash Flow (FCF)</t>
  </si>
  <si>
    <t>FCF = NOPAT + Depreciation – CapEx – Change in Working Capital</t>
  </si>
  <si>
    <t>Depreciation &amp; Amortization</t>
  </si>
  <si>
    <t>CapEx</t>
  </si>
  <si>
    <t>Change in Working Capital</t>
  </si>
  <si>
    <t>Free Cash Flow (FCF)</t>
  </si>
  <si>
    <t>E) Discounting the Cash Flows</t>
  </si>
  <si>
    <t>WACC</t>
  </si>
  <si>
    <t>Terminal Value</t>
  </si>
  <si>
    <t>Discount Factor</t>
  </si>
  <si>
    <t>PV of FCF</t>
  </si>
  <si>
    <t>PV of Terminal Value</t>
  </si>
  <si>
    <t>Base Case</t>
  </si>
  <si>
    <t>Bull Case</t>
  </si>
  <si>
    <t>Bear Case</t>
  </si>
  <si>
    <t>Depreciation</t>
  </si>
  <si>
    <t>Terminal Growth (g)</t>
  </si>
  <si>
    <t>Revenue Growth Assumptions (%)</t>
  </si>
  <si>
    <t>Base</t>
  </si>
  <si>
    <t>Bull</t>
  </si>
  <si>
    <t>Bear</t>
  </si>
  <si>
    <t>Revenue Forecast (USD millions)</t>
  </si>
  <si>
    <t>Margin Assumptions (as % of revenue)</t>
  </si>
  <si>
    <t>Cost of Sales</t>
  </si>
  <si>
    <t>R&amp;D</t>
  </si>
  <si>
    <t>SG&amp;A</t>
  </si>
  <si>
    <t>Operating Assumptions</t>
  </si>
  <si>
    <t>% of Revenue</t>
  </si>
  <si>
    <t>Discounting Assumptions</t>
  </si>
  <si>
    <t>Sources Used for Forecasting</t>
  </si>
  <si>
    <t>ARM future revenue growth expected at ~18–22% annually according to analyst consensus (SimplyWallSt, Arm — Future Growth).</t>
  </si>
  <si>
    <t>ARM Q2 FY2026 earnings: +34% YoY revenue; +56% licensing, +21% royalty growth (Futurum Group).</t>
  </si>
  <si>
    <t>Analysts forecast sales rising from ~$4.0B (FY2025) to ~$5.9B by 2027 (MarketScreener).</t>
  </si>
  <si>
    <t>Long-term royalty TAM growth estimated 15–20% CAGR (ARM F-1 Prospectus).</t>
  </si>
  <si>
    <t>(FY2025 Actual  =  4,007)</t>
  </si>
  <si>
    <t>YoY Growth %</t>
  </si>
  <si>
    <t>Total Enterprise Value (EV)</t>
  </si>
  <si>
    <t>WACC (Weighted Average Cost of Capital)</t>
  </si>
  <si>
    <t>Terminal Growth Rate(g)</t>
  </si>
  <si>
    <t>A) Revenue Forecast Section(BULL GROWTH)</t>
  </si>
  <si>
    <t>A) Revenue Forecast Section(BEAR CASE)</t>
  </si>
  <si>
    <t>EV Sensitivity to WACC and Terminal Growth</t>
  </si>
  <si>
    <t>WACC \ g</t>
  </si>
  <si>
    <t>Rev Growth \ EBIT</t>
  </si>
  <si>
    <t>Enterprise Value Semstivity to Revenue Growth &amp; EBIT Margin</t>
  </si>
  <si>
    <t>DCF (Bull Case)</t>
  </si>
  <si>
    <t>DCF(Bear Case)</t>
  </si>
  <si>
    <t>Charts</t>
  </si>
  <si>
    <r>
      <t>Last Updated:</t>
    </r>
    <r>
      <rPr>
        <sz val="16"/>
        <color rgb="FF0070C0"/>
        <rFont val="Calibri"/>
        <family val="2"/>
        <scheme val="minor"/>
      </rPr>
      <t xml:space="preserve"> 05.12.25</t>
    </r>
  </si>
  <si>
    <t xml:space="preserve">Year </t>
  </si>
  <si>
    <r>
      <t>Free Cash Flow Forecast (</t>
    </r>
    <r>
      <rPr>
        <b/>
        <i/>
        <sz val="14"/>
        <color theme="1"/>
        <rFont val="Calibri"/>
        <family val="2"/>
        <scheme val="minor"/>
      </rPr>
      <t>USD millions</t>
    </r>
    <r>
      <rPr>
        <b/>
        <sz val="14"/>
        <color theme="1"/>
        <rFont val="Calibri"/>
        <family val="2"/>
        <scheme val="minor"/>
      </rPr>
      <t>)</t>
    </r>
  </si>
  <si>
    <t>Enterprise value composition (Base)</t>
  </si>
  <si>
    <t>PV of Explicit FCFs</t>
  </si>
  <si>
    <t>PV of Terminal value</t>
  </si>
  <si>
    <t>EBIT Margin Expansion</t>
  </si>
  <si>
    <t>Company</t>
  </si>
  <si>
    <r>
      <t>ARM Revenue Forecast (</t>
    </r>
    <r>
      <rPr>
        <b/>
        <i/>
        <sz val="14"/>
        <color theme="1"/>
        <rFont val="Calibri"/>
        <family val="2"/>
        <scheme val="minor"/>
      </rPr>
      <t>USD millions</t>
    </r>
    <r>
      <rPr>
        <b/>
        <sz val="14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</si>
</sst>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%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16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5" fillId="0" borderId="0" xfId="0" applyFont="1" applyAlignment="1">
      <alignment vertical="top"/>
    </xf>
    <xf numFmtId="0" fontId="9" fillId="0" borderId="0" xfId="0" applyFont="1"/>
    <xf numFmtId="0" fontId="8" fillId="0" borderId="0" xfId="0" applyFont="1" applyAlignment="1">
      <alignment horizontal="center"/>
    </xf>
    <xf numFmtId="3" fontId="0" fillId="2" borderId="1" xfId="0" applyNumberFormat="1" applyFill="1" applyBorder="1" applyAlignment="1">
      <alignment vertical="center" wrapText="1"/>
    </xf>
    <xf numFmtId="2" fontId="0" fillId="2" borderId="1" xfId="0" applyNumberFormat="1" applyFill="1" applyBorder="1" applyAlignment="1">
      <alignment vertical="center" wrapText="1"/>
    </xf>
    <xf numFmtId="164" fontId="0" fillId="2" borderId="1" xfId="1" applyNumberFormat="1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2" fillId="0" borderId="0" xfId="0" applyFont="1"/>
    <xf numFmtId="0" fontId="13" fillId="0" borderId="0" xfId="0" applyFont="1"/>
    <xf numFmtId="0" fontId="1" fillId="0" borderId="1" xfId="0" applyFont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9" fontId="0" fillId="2" borderId="1" xfId="0" applyNumberFormat="1" applyFill="1" applyBorder="1" applyAlignment="1">
      <alignment vertical="center" wrapText="1"/>
    </xf>
    <xf numFmtId="10" fontId="0" fillId="2" borderId="1" xfId="0" applyNumberForma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" fillId="4" borderId="0" xfId="0" applyFont="1" applyFill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2" fillId="4" borderId="0" xfId="0" applyFont="1" applyFill="1"/>
    <xf numFmtId="0" fontId="2" fillId="4" borderId="0" xfId="0" applyFont="1" applyFill="1" applyAlignment="1">
      <alignment vertical="center"/>
    </xf>
    <xf numFmtId="9" fontId="15" fillId="0" borderId="0" xfId="0" applyNumberFormat="1" applyFont="1" applyAlignment="1">
      <alignment vertical="center" wrapText="1"/>
    </xf>
    <xf numFmtId="3" fontId="15" fillId="0" borderId="0" xfId="0" applyNumberFormat="1" applyFont="1" applyAlignment="1">
      <alignment vertical="center" wrapText="1"/>
    </xf>
    <xf numFmtId="10" fontId="15" fillId="0" borderId="0" xfId="0" applyNumberFormat="1" applyFont="1" applyAlignment="1">
      <alignment vertical="center" wrapText="1"/>
    </xf>
    <xf numFmtId="0" fontId="3" fillId="5" borderId="0" xfId="0" applyFont="1" applyFill="1" applyAlignment="1">
      <alignment vertical="center"/>
    </xf>
    <xf numFmtId="0" fontId="15" fillId="0" borderId="1" xfId="0" applyFont="1" applyBorder="1"/>
    <xf numFmtId="1" fontId="0" fillId="2" borderId="1" xfId="1" applyNumberFormat="1" applyFont="1" applyFill="1" applyBorder="1"/>
    <xf numFmtId="0" fontId="15" fillId="2" borderId="1" xfId="0" applyFont="1" applyFill="1" applyBorder="1"/>
    <xf numFmtId="9" fontId="0" fillId="2" borderId="1" xfId="2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center" wrapText="1"/>
    </xf>
    <xf numFmtId="9" fontId="0" fillId="2" borderId="1" xfId="2" applyFont="1" applyFill="1" applyBorder="1" applyAlignment="1">
      <alignment vertical="center" wrapText="1"/>
    </xf>
    <xf numFmtId="165" fontId="0" fillId="2" borderId="1" xfId="0" applyNumberForma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indent="1"/>
    </xf>
    <xf numFmtId="2" fontId="15" fillId="2" borderId="1" xfId="0" applyNumberFormat="1" applyFont="1" applyFill="1" applyBorder="1" applyAlignment="1">
      <alignment vertical="center" wrapText="1"/>
    </xf>
    <xf numFmtId="2" fontId="15" fillId="2" borderId="1" xfId="0" applyNumberFormat="1" applyFont="1" applyFill="1" applyBorder="1" applyAlignment="1">
      <alignment horizontal="right" vertical="center" wrapText="1"/>
    </xf>
    <xf numFmtId="0" fontId="0" fillId="2" borderId="1" xfId="0" applyFill="1" applyBorder="1"/>
    <xf numFmtId="9" fontId="15" fillId="2" borderId="1" xfId="0" applyNumberFormat="1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left" vertical="center" indent="1"/>
    </xf>
    <xf numFmtId="2" fontId="17" fillId="6" borderId="0" xfId="0" applyNumberFormat="1" applyFont="1" applyFill="1" applyAlignment="1">
      <alignment vertical="center" wrapText="1"/>
    </xf>
    <xf numFmtId="0" fontId="18" fillId="7" borderId="0" xfId="0" applyFont="1" applyFill="1" applyAlignment="1">
      <alignment horizontal="left" vertical="center" indent="1"/>
    </xf>
    <xf numFmtId="2" fontId="17" fillId="7" borderId="0" xfId="0" applyNumberFormat="1" applyFont="1" applyFill="1" applyAlignment="1">
      <alignment vertical="center" wrapText="1"/>
    </xf>
    <xf numFmtId="0" fontId="18" fillId="8" borderId="0" xfId="0" applyFont="1" applyFill="1" applyAlignment="1">
      <alignment horizontal="left" vertical="center" indent="1"/>
    </xf>
    <xf numFmtId="2" fontId="17" fillId="8" borderId="0" xfId="0" applyNumberFormat="1" applyFont="1" applyFill="1" applyAlignment="1">
      <alignment vertical="center" wrapText="1"/>
    </xf>
    <xf numFmtId="0" fontId="19" fillId="9" borderId="0" xfId="0" applyFont="1" applyFill="1"/>
    <xf numFmtId="10" fontId="1" fillId="0" borderId="1" xfId="0" applyNumberFormat="1" applyFont="1" applyBorder="1"/>
    <xf numFmtId="165" fontId="1" fillId="0" borderId="1" xfId="2" applyNumberFormat="1" applyFont="1" applyBorder="1"/>
    <xf numFmtId="10" fontId="1" fillId="0" borderId="1" xfId="2" applyNumberFormat="1" applyFont="1" applyBorder="1"/>
    <xf numFmtId="165" fontId="1" fillId="0" borderId="1" xfId="0" applyNumberFormat="1" applyFont="1" applyBorder="1" applyAlignment="1">
      <alignment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2" fillId="9" borderId="0" xfId="0" applyFont="1" applyFill="1"/>
    <xf numFmtId="0" fontId="0" fillId="2" borderId="1" xfId="0" applyFill="1" applyBorder="1" applyAlignment="1">
      <alignment horizontal="left"/>
    </xf>
    <xf numFmtId="2" fontId="0" fillId="2" borderId="1" xfId="0" applyNumberFormat="1" applyFill="1" applyBorder="1"/>
    <xf numFmtId="10" fontId="0" fillId="2" borderId="1" xfId="2" applyNumberFormat="1" applyFont="1" applyFill="1" applyBorder="1"/>
    <xf numFmtId="0" fontId="1" fillId="3" borderId="1" xfId="0" applyNumberFormat="1" applyFont="1" applyFill="1" applyBorder="1"/>
    <xf numFmtId="0" fontId="0" fillId="2" borderId="1" xfId="0" applyNumberFormat="1" applyFill="1" applyBorder="1" applyAlignment="1">
      <alignment horizontal="left"/>
    </xf>
    <xf numFmtId="0" fontId="0" fillId="2" borderId="1" xfId="0" applyNumberForma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ARM</a:t>
            </a:r>
            <a:r>
              <a:rPr lang="en-IN" baseline="0"/>
              <a:t> Revenue Forecast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Charts!$B$2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Charts!$A$3:$A$8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Charts!$B$3:$B$8</c:f>
              <c:numCache>
                <c:formatCode>General</c:formatCode>
                <c:ptCount val="6"/>
                <c:pt idx="0">
                  <c:v>4007</c:v>
                </c:pt>
                <c:pt idx="1">
                  <c:v>4808</c:v>
                </c:pt>
                <c:pt idx="2">
                  <c:v>5673</c:v>
                </c:pt>
                <c:pt idx="3">
                  <c:v>6579</c:v>
                </c:pt>
                <c:pt idx="4">
                  <c:v>7505</c:v>
                </c:pt>
                <c:pt idx="5">
                  <c:v>8405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41-406A-BA43-B715788DAB6C}"/>
            </c:ext>
          </c:extLst>
        </c:ser>
        <c:ser>
          <c:idx val="2"/>
          <c:order val="1"/>
          <c:tx>
            <c:strRef>
              <c:f>Charts!$C$2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Charts!$A$3:$A$8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Charts!$C$3:$C$8</c:f>
              <c:numCache>
                <c:formatCode>General</c:formatCode>
                <c:ptCount val="6"/>
                <c:pt idx="0">
                  <c:v>4007</c:v>
                </c:pt>
                <c:pt idx="1">
                  <c:v>5009</c:v>
                </c:pt>
                <c:pt idx="2">
                  <c:v>6161</c:v>
                </c:pt>
                <c:pt idx="3">
                  <c:v>7393</c:v>
                </c:pt>
                <c:pt idx="4">
                  <c:v>8724</c:v>
                </c:pt>
                <c:pt idx="5">
                  <c:v>10119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41-406A-BA43-B715788DAB6C}"/>
            </c:ext>
          </c:extLst>
        </c:ser>
        <c:ser>
          <c:idx val="3"/>
          <c:order val="2"/>
          <c:tx>
            <c:strRef>
              <c:f>Charts!$D$2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Charts!$A$3:$A$8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Charts!$D$3:$D$8</c:f>
              <c:numCache>
                <c:formatCode>General</c:formatCode>
                <c:ptCount val="6"/>
                <c:pt idx="0">
                  <c:v>4007</c:v>
                </c:pt>
                <c:pt idx="1">
                  <c:v>4488</c:v>
                </c:pt>
                <c:pt idx="2">
                  <c:v>4937</c:v>
                </c:pt>
                <c:pt idx="3">
                  <c:v>5332</c:v>
                </c:pt>
                <c:pt idx="4">
                  <c:v>5705</c:v>
                </c:pt>
                <c:pt idx="5">
                  <c:v>6047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41-406A-BA43-B715788DA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333136"/>
        <c:axId val="1105334096"/>
      </c:lineChart>
      <c:catAx>
        <c:axId val="110533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334096"/>
        <c:crosses val="autoZero"/>
        <c:auto val="1"/>
        <c:lblAlgn val="ctr"/>
        <c:lblOffset val="100"/>
        <c:noMultiLvlLbl val="0"/>
      </c:catAx>
      <c:valAx>
        <c:axId val="1105334096"/>
        <c:scaling>
          <c:orientation val="minMax"/>
          <c:max val="11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333136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ARM</a:t>
            </a:r>
            <a:r>
              <a:rPr lang="en-IN" baseline="0"/>
              <a:t> Free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Charts!$B$11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Charts!$A$12:$A$17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Charts!$B$12:$B$17</c:f>
              <c:numCache>
                <c:formatCode>General</c:formatCode>
                <c:ptCount val="6"/>
                <c:pt idx="0">
                  <c:v>674.85</c:v>
                </c:pt>
                <c:pt idx="1">
                  <c:v>885.63</c:v>
                </c:pt>
                <c:pt idx="2">
                  <c:v>1142.54</c:v>
                </c:pt>
                <c:pt idx="3">
                  <c:v>1494.75</c:v>
                </c:pt>
                <c:pt idx="4">
                  <c:v>1834.22</c:v>
                </c:pt>
                <c:pt idx="5">
                  <c:v>2198.75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60-4083-80BF-A23BE6CD49BB}"/>
            </c:ext>
          </c:extLst>
        </c:ser>
        <c:ser>
          <c:idx val="2"/>
          <c:order val="1"/>
          <c:tx>
            <c:strRef>
              <c:f>Charts!$C$11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Charts!$A$12:$A$17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Charts!$C$12:$C$17</c:f>
              <c:numCache>
                <c:formatCode>General</c:formatCode>
                <c:ptCount val="6"/>
                <c:pt idx="0">
                  <c:v>674.85</c:v>
                </c:pt>
                <c:pt idx="1">
                  <c:v>1060.45</c:v>
                </c:pt>
                <c:pt idx="2">
                  <c:v>1410.32</c:v>
                </c:pt>
                <c:pt idx="3">
                  <c:v>1883.12</c:v>
                </c:pt>
                <c:pt idx="4">
                  <c:v>2447.16</c:v>
                </c:pt>
                <c:pt idx="5">
                  <c:v>3012.75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60-4083-80BF-A23BE6CD49BB}"/>
            </c:ext>
          </c:extLst>
        </c:ser>
        <c:ser>
          <c:idx val="3"/>
          <c:order val="2"/>
          <c:tx>
            <c:strRef>
              <c:f>Charts!$D$11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Charts!$A$12:$A$17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Charts!$D$12:$D$17</c:f>
              <c:numCache>
                <c:formatCode>General</c:formatCode>
                <c:ptCount val="6"/>
                <c:pt idx="0">
                  <c:v>674.85</c:v>
                </c:pt>
                <c:pt idx="1">
                  <c:v>780.35</c:v>
                </c:pt>
                <c:pt idx="2">
                  <c:v>858.38</c:v>
                </c:pt>
                <c:pt idx="3">
                  <c:v>1018.75</c:v>
                </c:pt>
                <c:pt idx="4">
                  <c:v>1139.1300000000001</c:v>
                </c:pt>
                <c:pt idx="5">
                  <c:v>1311.48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60-4083-80BF-A23BE6CD4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490784"/>
        <c:axId val="381491264"/>
      </c:lineChart>
      <c:catAx>
        <c:axId val="38149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491264"/>
        <c:crosses val="autoZero"/>
        <c:auto val="1"/>
        <c:lblAlgn val="ctr"/>
        <c:lblOffset val="100"/>
        <c:noMultiLvlLbl val="0"/>
      </c:catAx>
      <c:valAx>
        <c:axId val="38149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49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Enterprise</a:t>
            </a:r>
            <a:r>
              <a:rPr lang="en-IN" baseline="0"/>
              <a:t> Value Breakdown (Base Case)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Charts!$B$20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24CF-477D-999B-26DDF5430E88}"/>
              </c:ext>
            </c:extLst>
          </c:dPt>
          <c:cat>
            <c:strRef>
              <c:f>Charts!$A$21:$A$22</c:f>
              <c:strCache>
                <c:ptCount val="2"/>
                <c:pt idx="0">
                  <c:v>PV of Explicit FCFs</c:v>
                </c:pt>
                <c:pt idx="1">
                  <c:v>PV of Terminal value</c:v>
                </c:pt>
              </c:strCache>
            </c:strRef>
          </c:cat>
          <c:val>
            <c:numRef>
              <c:f>Charts!$B$21:$B$22</c:f>
              <c:numCache>
                <c:formatCode>0.00</c:formatCode>
                <c:ptCount val="2"/>
                <c:pt idx="0">
                  <c:v>5490.47</c:v>
                </c:pt>
                <c:pt idx="1">
                  <c:v>20088.669999999998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F-477D-999B-26DDF5430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EBIT</a:t>
            </a:r>
            <a:r>
              <a:rPr lang="en-IN" baseline="0"/>
              <a:t> Margin Expansion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Charts!$B$25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Charts!$A$26:$A$31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Charts!$B$26:$B$31</c:f>
              <c:numCache>
                <c:formatCode>0.00%</c:formatCode>
                <c:ptCount val="6"/>
                <c:pt idx="0">
                  <c:v>0.2016</c:v>
                </c:pt>
                <c:pt idx="1">
                  <c:v>0.21990000000000001</c:v>
                </c:pt>
                <c:pt idx="2">
                  <c:v>0.24</c:v>
                </c:pt>
                <c:pt idx="3">
                  <c:v>0.27</c:v>
                </c:pt>
                <c:pt idx="4">
                  <c:v>0.28999999999999998</c:v>
                </c:pt>
                <c:pt idx="5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18-474F-BAC4-162E112EE74A}"/>
            </c:ext>
          </c:extLst>
        </c:ser>
        <c:ser>
          <c:idx val="2"/>
          <c:order val="1"/>
          <c:tx>
            <c:strRef>
              <c:f>Charts!$C$25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Charts!$A$26:$A$31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Charts!$C$26:$C$31</c:f>
              <c:numCache>
                <c:formatCode>0.00%</c:formatCode>
                <c:ptCount val="6"/>
                <c:pt idx="0">
                  <c:v>0.2016</c:v>
                </c:pt>
                <c:pt idx="1">
                  <c:v>0.252</c:v>
                </c:pt>
                <c:pt idx="2">
                  <c:v>0.27200000000000002</c:v>
                </c:pt>
                <c:pt idx="3">
                  <c:v>0.30199999999999999</c:v>
                </c:pt>
                <c:pt idx="4">
                  <c:v>0.33200000000000002</c:v>
                </c:pt>
                <c:pt idx="5">
                  <c:v>0.35199999999999998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18-474F-BAC4-162E112EE74A}"/>
            </c:ext>
          </c:extLst>
        </c:ser>
        <c:ser>
          <c:idx val="3"/>
          <c:order val="2"/>
          <c:tx>
            <c:strRef>
              <c:f>Charts!$D$25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Charts!$A$26:$A$31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Charts!$D$26:$D$31</c:f>
              <c:numCache>
                <c:formatCode>0.00%</c:formatCode>
                <c:ptCount val="6"/>
                <c:pt idx="0">
                  <c:v>0.2016</c:v>
                </c:pt>
                <c:pt idx="1">
                  <c:v>0.20799999999999999</c:v>
                </c:pt>
                <c:pt idx="2">
                  <c:v>0.20799999999999999</c:v>
                </c:pt>
                <c:pt idx="3">
                  <c:v>0.22800000000000001</c:v>
                </c:pt>
                <c:pt idx="4">
                  <c:v>0.23799999999999999</c:v>
                </c:pt>
                <c:pt idx="5">
                  <c:v>0.25800000000000001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18-474F-BAC4-162E112EE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548384"/>
        <c:axId val="381544064"/>
      </c:lineChart>
      <c:catAx>
        <c:axId val="38154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544064"/>
        <c:crosses val="autoZero"/>
        <c:auto val="1"/>
        <c:lblAlgn val="ctr"/>
        <c:lblOffset val="100"/>
        <c:noMultiLvlLbl val="0"/>
      </c:catAx>
      <c:valAx>
        <c:axId val="38154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54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492125</xdr:colOff>
      <xdr:row>1</xdr:row>
      <xdr:rowOff>3175</xdr:rowOff>
    </xdr:from>
    <xdr:to>
      <xdr:col>12</xdr:col>
      <xdr:colOff>187325</xdr:colOff>
      <xdr:row>15</xdr:row>
      <xdr:rowOff>117475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306202-EFAB-CE4C-6BCF-154C9E8EB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498475</xdr:colOff>
      <xdr:row>16</xdr:row>
      <xdr:rowOff>161925</xdr:rowOff>
    </xdr:from>
    <xdr:to>
      <xdr:col>12</xdr:col>
      <xdr:colOff>193675</xdr:colOff>
      <xdr:row>31</xdr:row>
      <xdr:rowOff>41275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DE9598-3683-F7B3-FC57-177A05DCA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485535</xdr:colOff>
      <xdr:row>1</xdr:row>
      <xdr:rowOff>34206</xdr:rowOff>
    </xdr:from>
    <xdr:to>
      <xdr:col>20</xdr:col>
      <xdr:colOff>173187</xdr:colOff>
      <xdr:row>15</xdr:row>
      <xdr:rowOff>157612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55CB4B-E776-7430-C511-7A2EF7306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428113</xdr:colOff>
      <xdr:row>17</xdr:row>
      <xdr:rowOff>28131</xdr:rowOff>
    </xdr:from>
    <xdr:to>
      <xdr:col>20</xdr:col>
      <xdr:colOff>138608</xdr:colOff>
      <xdr:row>31</xdr:row>
      <xdr:rowOff>94772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38258CD-FE99-9B78-6B0F-1759262A6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showGridLines="0" showRowColHeaders="0" topLeftCell="A8" workbookViewId="0">
      <selection activeCell="N17" sqref="N17"/>
    </sheetView>
  </sheetViews>
  <sheetFormatPr defaultRowHeight="14.5" x14ac:dyDescent="0.35"/>
  <cols>
    <col min="10" max="11" width="9.08984375" customWidth="1"/>
  </cols>
  <sheetData>
    <row r="1" spans="1:12" ht="17.5" x14ac:dyDescent="0.35">
      <c r="A1" s="3"/>
    </row>
    <row r="2" spans="1:12" ht="28.5" x14ac:dyDescent="0.65">
      <c r="G2" s="11" t="s">
        <v>17</v>
      </c>
    </row>
    <row r="3" spans="1:12" x14ac:dyDescent="0.35">
      <c r="A3" s="4"/>
    </row>
    <row r="9" spans="1:12" ht="21" x14ac:dyDescent="0.5">
      <c r="K9" s="6" t="s">
        <v>24</v>
      </c>
      <c r="L9" s="7"/>
    </row>
    <row r="10" spans="1:12" ht="21" x14ac:dyDescent="0.5">
      <c r="K10" s="6" t="s">
        <v>25</v>
      </c>
      <c r="L10" s="7"/>
    </row>
    <row r="11" spans="1:12" ht="21" x14ac:dyDescent="0.5">
      <c r="K11" s="6" t="s">
        <v>26</v>
      </c>
      <c r="L11" s="7"/>
    </row>
    <row r="12" spans="1:12" ht="21" x14ac:dyDescent="0.5">
      <c r="K12" s="14" t="s">
        <v>100</v>
      </c>
      <c r="L12" s="7"/>
    </row>
    <row r="16" spans="1:12" ht="23.5" x14ac:dyDescent="0.55000000000000004">
      <c r="I16" s="13" t="s">
        <v>18</v>
      </c>
      <c r="K16" s="8"/>
    </row>
    <row r="17" spans="9:12" ht="15.5" x14ac:dyDescent="0.35">
      <c r="J17" s="9"/>
      <c r="K17" s="8"/>
    </row>
    <row r="18" spans="9:12" ht="21" x14ac:dyDescent="0.35">
      <c r="I18" s="12" t="s">
        <v>19</v>
      </c>
      <c r="L18" s="10"/>
    </row>
    <row r="19" spans="9:12" ht="21" x14ac:dyDescent="0.35">
      <c r="I19" s="12" t="s">
        <v>20</v>
      </c>
      <c r="L19" s="10"/>
    </row>
    <row r="20" spans="9:12" ht="21" x14ac:dyDescent="0.35">
      <c r="I20" s="12" t="s">
        <v>21</v>
      </c>
      <c r="L20" s="10"/>
    </row>
    <row r="21" spans="9:12" ht="21" x14ac:dyDescent="0.35">
      <c r="I21" s="12" t="s">
        <v>22</v>
      </c>
      <c r="L21" s="10"/>
    </row>
    <row r="22" spans="9:12" ht="21" x14ac:dyDescent="0.35">
      <c r="I22" s="12" t="s">
        <v>97</v>
      </c>
      <c r="L22" s="10"/>
    </row>
    <row r="23" spans="9:12" ht="21" x14ac:dyDescent="0.35">
      <c r="I23" s="12" t="s">
        <v>98</v>
      </c>
      <c r="L23" s="10"/>
    </row>
    <row r="24" spans="9:12" ht="21" x14ac:dyDescent="0.35">
      <c r="I24" s="12" t="s">
        <v>23</v>
      </c>
      <c r="L24" s="10"/>
    </row>
    <row r="25" spans="9:12" ht="21" x14ac:dyDescent="0.35">
      <c r="I25" s="12" t="s">
        <v>99</v>
      </c>
      <c r="L25" s="10"/>
    </row>
    <row r="26" spans="9:12" ht="15.5" x14ac:dyDescent="0.35">
      <c r="L26" s="10"/>
    </row>
    <row r="27" spans="9:12" ht="21" x14ac:dyDescent="0.35">
      <c r="I27" s="12"/>
      <c r="L27" s="10"/>
    </row>
    <row r="28" spans="9:12" ht="21" x14ac:dyDescent="0.35">
      <c r="I28" s="12"/>
      <c r="L28" s="10"/>
    </row>
    <row r="29" spans="9:12" ht="21" x14ac:dyDescent="0.35">
      <c r="I29" s="12"/>
      <c r="J29" s="5"/>
    </row>
    <row r="30" spans="9:12" ht="21" x14ac:dyDescent="0.35">
      <c r="I30" s="12"/>
    </row>
    <row r="31" spans="9:12" ht="21" x14ac:dyDescent="0.35">
      <c r="I31" s="12"/>
      <c r="J31" s="5"/>
    </row>
    <row r="33" spans="10:10" x14ac:dyDescent="0.35">
      <c r="J33" s="5"/>
    </row>
    <row r="35" spans="10:10" x14ac:dyDescent="0.35">
      <c r="J35" s="5"/>
    </row>
    <row r="37" spans="10:10" x14ac:dyDescent="0.35">
      <c r="J37" s="5"/>
    </row>
    <row r="39" spans="10:10" x14ac:dyDescent="0.35">
      <c r="J39" s="5"/>
    </row>
    <row r="41" spans="10:10" x14ac:dyDescent="0.35">
      <c r="J41" s="5"/>
    </row>
    <row r="43" spans="10:10" x14ac:dyDescent="0.35">
      <c r="J43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selection activeCell="C17" sqref="C17"/>
    </sheetView>
  </sheetViews>
  <sheetFormatPr defaultRowHeight="14.5" x14ac:dyDescent="0.35"/>
  <cols>
    <col min="1" max="1" width="114.90625" style="25" bestFit="1" customWidth="1"/>
    <col min="2" max="2" width="16.36328125" style="25" customWidth="1"/>
    <col min="3" max="3" width="11.54296875" style="25" customWidth="1"/>
    <col min="4" max="4" width="9.36328125" style="25" customWidth="1"/>
    <col min="5" max="16384" width="8.7265625" style="25"/>
  </cols>
  <sheetData>
    <row r="1" spans="1:4" ht="15.5" x14ac:dyDescent="0.35">
      <c r="A1" s="31" t="s">
        <v>69</v>
      </c>
      <c r="B1"/>
      <c r="C1"/>
      <c r="D1"/>
    </row>
    <row r="2" spans="1:4" x14ac:dyDescent="0.35">
      <c r="A2" s="1" t="s">
        <v>36</v>
      </c>
      <c r="B2" s="1" t="s">
        <v>70</v>
      </c>
      <c r="C2" s="1" t="s">
        <v>71</v>
      </c>
      <c r="D2" s="1" t="s">
        <v>72</v>
      </c>
    </row>
    <row r="3" spans="1:4" x14ac:dyDescent="0.35">
      <c r="A3" s="2" t="s">
        <v>38</v>
      </c>
      <c r="B3" s="28">
        <v>0.2</v>
      </c>
      <c r="C3" s="28">
        <v>0.25</v>
      </c>
      <c r="D3" s="28">
        <v>0.15</v>
      </c>
    </row>
    <row r="4" spans="1:4" x14ac:dyDescent="0.35">
      <c r="A4" s="2" t="s">
        <v>39</v>
      </c>
      <c r="B4" s="28">
        <v>0.18</v>
      </c>
      <c r="C4" s="28">
        <v>0.23</v>
      </c>
      <c r="D4" s="28">
        <v>0.12</v>
      </c>
    </row>
    <row r="5" spans="1:4" x14ac:dyDescent="0.35">
      <c r="A5" s="2" t="s">
        <v>40</v>
      </c>
      <c r="B5" s="28">
        <v>0.16</v>
      </c>
      <c r="C5" s="28">
        <v>0.2</v>
      </c>
      <c r="D5" s="28">
        <v>0.1</v>
      </c>
    </row>
    <row r="6" spans="1:4" x14ac:dyDescent="0.35">
      <c r="A6" s="2" t="s">
        <v>41</v>
      </c>
      <c r="B6" s="28">
        <v>0.14000000000000001</v>
      </c>
      <c r="C6" s="28">
        <v>0.18</v>
      </c>
      <c r="D6" s="28">
        <v>0.08</v>
      </c>
    </row>
    <row r="7" spans="1:4" x14ac:dyDescent="0.35">
      <c r="A7" s="2" t="s">
        <v>42</v>
      </c>
      <c r="B7" s="28">
        <v>0.12</v>
      </c>
      <c r="C7" s="28">
        <v>0.16</v>
      </c>
      <c r="D7" s="28">
        <v>7.0000000000000007E-2</v>
      </c>
    </row>
    <row r="9" spans="1:4" ht="15.5" x14ac:dyDescent="0.35">
      <c r="A9" s="31" t="s">
        <v>73</v>
      </c>
      <c r="B9"/>
      <c r="C9"/>
      <c r="D9"/>
    </row>
    <row r="10" spans="1:4" x14ac:dyDescent="0.35">
      <c r="A10" s="21" t="s">
        <v>86</v>
      </c>
      <c r="B10"/>
      <c r="C10"/>
      <c r="D10"/>
    </row>
    <row r="11" spans="1:4" ht="14" customHeight="1" x14ac:dyDescent="0.35">
      <c r="A11" s="1" t="s">
        <v>36</v>
      </c>
      <c r="B11" s="1" t="s">
        <v>64</v>
      </c>
      <c r="C11" s="1" t="s">
        <v>65</v>
      </c>
      <c r="D11" s="1" t="s">
        <v>66</v>
      </c>
    </row>
    <row r="12" spans="1:4" x14ac:dyDescent="0.35">
      <c r="A12" s="2" t="s">
        <v>37</v>
      </c>
      <c r="B12" s="15">
        <v>4007</v>
      </c>
      <c r="C12" s="15">
        <v>4007</v>
      </c>
      <c r="D12" s="15">
        <v>4007</v>
      </c>
    </row>
    <row r="13" spans="1:4" ht="14" customHeight="1" x14ac:dyDescent="0.35">
      <c r="A13" s="2" t="s">
        <v>38</v>
      </c>
      <c r="B13" s="15">
        <v>4808</v>
      </c>
      <c r="C13" s="15">
        <v>5009</v>
      </c>
      <c r="D13" s="15">
        <v>4608</v>
      </c>
    </row>
    <row r="14" spans="1:4" x14ac:dyDescent="0.35">
      <c r="A14" s="2" t="s">
        <v>39</v>
      </c>
      <c r="B14" s="15">
        <v>5673</v>
      </c>
      <c r="C14" s="15">
        <v>6160</v>
      </c>
      <c r="D14" s="15">
        <v>5161</v>
      </c>
    </row>
    <row r="15" spans="1:4" x14ac:dyDescent="0.35">
      <c r="A15" s="2" t="s">
        <v>40</v>
      </c>
      <c r="B15" s="15">
        <v>6579</v>
      </c>
      <c r="C15" s="15">
        <v>7392</v>
      </c>
      <c r="D15" s="15">
        <v>5677</v>
      </c>
    </row>
    <row r="16" spans="1:4" x14ac:dyDescent="0.35">
      <c r="A16" s="2" t="s">
        <v>41</v>
      </c>
      <c r="B16" s="15">
        <v>7505</v>
      </c>
      <c r="C16" s="15">
        <v>8714</v>
      </c>
      <c r="D16" s="15">
        <v>6130</v>
      </c>
    </row>
    <row r="17" spans="1:6" x14ac:dyDescent="0.35">
      <c r="A17" s="2" t="s">
        <v>42</v>
      </c>
      <c r="B17" s="15">
        <v>8405</v>
      </c>
      <c r="C17" s="15">
        <v>10104</v>
      </c>
      <c r="D17" s="15">
        <v>6560</v>
      </c>
    </row>
    <row r="19" spans="1:6" ht="15.5" x14ac:dyDescent="0.35">
      <c r="A19" s="31" t="s">
        <v>74</v>
      </c>
      <c r="B19"/>
      <c r="C19"/>
      <c r="D19"/>
    </row>
    <row r="20" spans="1:6" x14ac:dyDescent="0.35">
      <c r="A20" s="1" t="s">
        <v>48</v>
      </c>
      <c r="B20" s="1" t="s">
        <v>38</v>
      </c>
      <c r="C20" s="1" t="s">
        <v>39</v>
      </c>
      <c r="D20" s="1" t="s">
        <v>40</v>
      </c>
      <c r="E20" s="1" t="s">
        <v>41</v>
      </c>
      <c r="F20" s="1" t="s">
        <v>42</v>
      </c>
    </row>
    <row r="21" spans="1:6" x14ac:dyDescent="0.35">
      <c r="A21" s="2" t="s">
        <v>75</v>
      </c>
      <c r="B21" s="29">
        <v>0.03</v>
      </c>
      <c r="C21" s="29">
        <v>0.03</v>
      </c>
      <c r="D21" s="29">
        <v>0.03</v>
      </c>
      <c r="E21" s="29">
        <v>0.03</v>
      </c>
      <c r="F21" s="29">
        <v>0.03</v>
      </c>
    </row>
    <row r="22" spans="1:6" x14ac:dyDescent="0.35">
      <c r="A22" s="2" t="s">
        <v>76</v>
      </c>
      <c r="B22" s="28">
        <v>0.51</v>
      </c>
      <c r="C22" s="28">
        <v>0.5</v>
      </c>
      <c r="D22" s="28">
        <v>0.48</v>
      </c>
      <c r="E22" s="28">
        <v>0.47</v>
      </c>
      <c r="F22" s="28">
        <v>0.46</v>
      </c>
    </row>
    <row r="23" spans="1:6" x14ac:dyDescent="0.35">
      <c r="A23" s="2" t="s">
        <v>77</v>
      </c>
      <c r="B23" s="28">
        <v>0.24</v>
      </c>
      <c r="C23" s="28">
        <v>0.23</v>
      </c>
      <c r="D23" s="28">
        <v>0.22</v>
      </c>
      <c r="E23" s="28">
        <v>0.21</v>
      </c>
      <c r="F23" s="28">
        <v>0.2</v>
      </c>
    </row>
    <row r="24" spans="1:6" x14ac:dyDescent="0.35">
      <c r="A24" s="27"/>
      <c r="B24" s="27"/>
      <c r="C24" s="27"/>
    </row>
    <row r="26" spans="1:6" ht="15.5" x14ac:dyDescent="0.35">
      <c r="A26" s="31" t="s">
        <v>78</v>
      </c>
      <c r="B26"/>
    </row>
    <row r="27" spans="1:6" x14ac:dyDescent="0.35">
      <c r="A27" s="1" t="s">
        <v>48</v>
      </c>
      <c r="B27" s="1" t="s">
        <v>79</v>
      </c>
    </row>
    <row r="28" spans="1:6" x14ac:dyDescent="0.35">
      <c r="A28" s="2" t="s">
        <v>67</v>
      </c>
      <c r="B28" s="29">
        <v>0.03</v>
      </c>
      <c r="C28" s="26"/>
    </row>
    <row r="29" spans="1:6" x14ac:dyDescent="0.35">
      <c r="A29" s="2" t="s">
        <v>55</v>
      </c>
      <c r="B29" s="29">
        <v>2.5000000000000001E-2</v>
      </c>
      <c r="C29" s="27"/>
    </row>
    <row r="30" spans="1:6" x14ac:dyDescent="0.35">
      <c r="A30" s="2" t="s">
        <v>56</v>
      </c>
      <c r="B30" s="29">
        <v>0.01</v>
      </c>
      <c r="C30" s="27"/>
    </row>
    <row r="31" spans="1:6" x14ac:dyDescent="0.35">
      <c r="C31" s="27"/>
    </row>
    <row r="32" spans="1:6" x14ac:dyDescent="0.35">
      <c r="A32" s="27"/>
      <c r="B32" s="27"/>
      <c r="C32" s="27"/>
    </row>
    <row r="33" spans="1:3" x14ac:dyDescent="0.35">
      <c r="A33" s="32" t="s">
        <v>80</v>
      </c>
      <c r="B33"/>
      <c r="C33" s="27"/>
    </row>
    <row r="34" spans="1:3" ht="15.5" x14ac:dyDescent="0.35">
      <c r="A34" s="30" t="s">
        <v>48</v>
      </c>
      <c r="B34" s="1" t="s">
        <v>0</v>
      </c>
    </row>
    <row r="35" spans="1:3" x14ac:dyDescent="0.35">
      <c r="A35" s="2" t="s">
        <v>59</v>
      </c>
      <c r="B35" s="28">
        <v>0.1</v>
      </c>
    </row>
    <row r="36" spans="1:3" x14ac:dyDescent="0.35">
      <c r="A36" s="2" t="s">
        <v>68</v>
      </c>
      <c r="B36" s="28">
        <v>0.03</v>
      </c>
      <c r="C36" s="26"/>
    </row>
    <row r="37" spans="1:3" x14ac:dyDescent="0.35">
      <c r="C37" s="27"/>
    </row>
    <row r="38" spans="1:3" ht="15.5" x14ac:dyDescent="0.35">
      <c r="A38" s="31" t="s">
        <v>81</v>
      </c>
      <c r="B38" s="27"/>
      <c r="C38" s="27"/>
    </row>
    <row r="39" spans="1:3" x14ac:dyDescent="0.35">
      <c r="A39" s="34" t="s">
        <v>82</v>
      </c>
      <c r="B39" s="27"/>
      <c r="C39" s="27"/>
    </row>
    <row r="40" spans="1:3" x14ac:dyDescent="0.35">
      <c r="A40" s="33" t="s">
        <v>83</v>
      </c>
      <c r="B40" s="27"/>
      <c r="C40" s="27"/>
    </row>
    <row r="41" spans="1:3" x14ac:dyDescent="0.35">
      <c r="A41" s="33" t="s">
        <v>84</v>
      </c>
      <c r="B41" s="27"/>
      <c r="C41" s="27"/>
    </row>
    <row r="42" spans="1:3" x14ac:dyDescent="0.35">
      <c r="A42" s="33" t="s">
        <v>85</v>
      </c>
      <c r="B42" s="27"/>
      <c r="C42" s="27"/>
    </row>
    <row r="45" spans="1:3" x14ac:dyDescent="0.35">
      <c r="A45" s="5"/>
    </row>
    <row r="46" spans="1:3" x14ac:dyDescent="0.35">
      <c r="B46" s="26"/>
      <c r="C46" s="26"/>
    </row>
    <row r="47" spans="1:3" x14ac:dyDescent="0.35">
      <c r="A47" s="5"/>
      <c r="B47" s="27"/>
      <c r="C47" s="27"/>
    </row>
    <row r="48" spans="1:3" x14ac:dyDescent="0.35">
      <c r="B48" s="27"/>
      <c r="C48" s="27"/>
    </row>
    <row r="49" spans="1:3" x14ac:dyDescent="0.35">
      <c r="A49" s="27"/>
      <c r="B49" s="27"/>
      <c r="C49" s="27"/>
    </row>
    <row r="50" spans="1:3" x14ac:dyDescent="0.35">
      <c r="A50" s="27"/>
      <c r="B50" s="27"/>
      <c r="C50" s="27"/>
    </row>
    <row r="51" spans="1:3" x14ac:dyDescent="0.35">
      <c r="A51" s="27"/>
      <c r="B51" s="27"/>
      <c r="C51" s="2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zoomScale="115" zoomScaleNormal="115" workbookViewId="0">
      <selection activeCell="A13" sqref="A13"/>
    </sheetView>
  </sheetViews>
  <sheetFormatPr defaultRowHeight="14.5" x14ac:dyDescent="0.35"/>
  <cols>
    <col min="1" max="1" width="33.36328125" customWidth="1"/>
    <col min="2" max="2" width="9.7265625" bestFit="1" customWidth="1"/>
    <col min="5" max="5" width="11.1796875" bestFit="1" customWidth="1"/>
  </cols>
  <sheetData>
    <row r="1" spans="1:5" ht="18.5" x14ac:dyDescent="0.45">
      <c r="A1" s="35" t="s">
        <v>1</v>
      </c>
    </row>
    <row r="2" spans="1:5" x14ac:dyDescent="0.35">
      <c r="A2" s="1" t="s">
        <v>27</v>
      </c>
      <c r="B2" s="1" t="s">
        <v>2</v>
      </c>
      <c r="C2" s="1" t="s">
        <v>3</v>
      </c>
      <c r="D2" s="1" t="s">
        <v>4</v>
      </c>
      <c r="E2" s="1" t="s">
        <v>28</v>
      </c>
    </row>
    <row r="3" spans="1:5" x14ac:dyDescent="0.35">
      <c r="A3" s="2" t="s">
        <v>5</v>
      </c>
      <c r="B3" s="17">
        <v>26914</v>
      </c>
      <c r="C3" s="17">
        <v>26974</v>
      </c>
      <c r="D3" s="17">
        <v>60922</v>
      </c>
      <c r="E3" s="17">
        <v>130497</v>
      </c>
    </row>
    <row r="4" spans="1:5" x14ac:dyDescent="0.35">
      <c r="A4" s="2" t="s">
        <v>29</v>
      </c>
      <c r="B4" s="17">
        <v>9439</v>
      </c>
      <c r="C4" s="17">
        <v>11618</v>
      </c>
      <c r="D4" s="17">
        <v>16621</v>
      </c>
      <c r="E4" s="17">
        <v>32639</v>
      </c>
    </row>
    <row r="5" spans="1:5" x14ac:dyDescent="0.35">
      <c r="A5" s="2" t="s">
        <v>6</v>
      </c>
      <c r="B5" s="17">
        <v>17475</v>
      </c>
      <c r="C5" s="17">
        <v>15356</v>
      </c>
      <c r="D5" s="17">
        <v>44301</v>
      </c>
      <c r="E5" s="17">
        <v>97858</v>
      </c>
    </row>
    <row r="6" spans="1:5" x14ac:dyDescent="0.35">
      <c r="A6" s="2" t="s">
        <v>7</v>
      </c>
      <c r="B6" s="17">
        <v>7434</v>
      </c>
      <c r="C6" s="17">
        <v>11312</v>
      </c>
      <c r="D6" s="17">
        <v>11329</v>
      </c>
      <c r="E6" s="17">
        <v>16405</v>
      </c>
    </row>
    <row r="7" spans="1:5" x14ac:dyDescent="0.35">
      <c r="A7" s="2" t="s">
        <v>8</v>
      </c>
      <c r="B7" s="17">
        <v>10041</v>
      </c>
      <c r="C7" s="17">
        <v>4224</v>
      </c>
      <c r="D7" s="17">
        <v>32972</v>
      </c>
      <c r="E7" s="17">
        <v>81453</v>
      </c>
    </row>
    <row r="8" spans="1:5" x14ac:dyDescent="0.35">
      <c r="A8" s="2" t="s">
        <v>9</v>
      </c>
      <c r="B8" s="17">
        <v>9752</v>
      </c>
      <c r="C8" s="17">
        <v>4368</v>
      </c>
      <c r="D8" s="17">
        <v>29760</v>
      </c>
      <c r="E8" s="17">
        <v>72800</v>
      </c>
    </row>
    <row r="10" spans="1:5" ht="18.5" x14ac:dyDescent="0.45">
      <c r="A10" s="35" t="s">
        <v>10</v>
      </c>
    </row>
    <row r="11" spans="1:5" x14ac:dyDescent="0.35">
      <c r="A11" s="1" t="s">
        <v>27</v>
      </c>
      <c r="B11" s="1" t="s">
        <v>2</v>
      </c>
      <c r="C11" s="1" t="s">
        <v>3</v>
      </c>
      <c r="D11" s="1" t="s">
        <v>4</v>
      </c>
      <c r="E11" s="1" t="s">
        <v>28</v>
      </c>
    </row>
    <row r="12" spans="1:5" x14ac:dyDescent="0.35">
      <c r="A12" s="2" t="s">
        <v>11</v>
      </c>
      <c r="B12" s="17">
        <v>1990</v>
      </c>
      <c r="C12" s="17">
        <v>3389</v>
      </c>
      <c r="D12" s="17">
        <v>7280</v>
      </c>
      <c r="E12" s="17">
        <v>8589</v>
      </c>
    </row>
    <row r="13" spans="1:5" x14ac:dyDescent="0.35">
      <c r="A13" s="2" t="s">
        <v>12</v>
      </c>
      <c r="B13" s="17">
        <v>41182</v>
      </c>
      <c r="C13" s="17">
        <v>65728</v>
      </c>
      <c r="D13" s="17">
        <v>65728</v>
      </c>
      <c r="E13" s="17">
        <v>111601</v>
      </c>
    </row>
    <row r="14" spans="1:5" x14ac:dyDescent="0.35">
      <c r="A14" s="2" t="s">
        <v>13</v>
      </c>
      <c r="B14" s="17">
        <v>19081</v>
      </c>
      <c r="C14" s="17">
        <v>22750</v>
      </c>
      <c r="D14" s="17">
        <v>22750</v>
      </c>
      <c r="E14" s="17">
        <v>32274</v>
      </c>
    </row>
    <row r="15" spans="1:5" x14ac:dyDescent="0.35">
      <c r="A15" s="2" t="s">
        <v>14</v>
      </c>
      <c r="B15" s="17">
        <v>22101</v>
      </c>
      <c r="C15" s="17">
        <v>42978</v>
      </c>
      <c r="D15" s="17">
        <v>42978</v>
      </c>
      <c r="E15" s="17">
        <v>79327</v>
      </c>
    </row>
    <row r="17" spans="1:5" ht="18.5" x14ac:dyDescent="0.35">
      <c r="A17" s="36" t="s">
        <v>15</v>
      </c>
    </row>
    <row r="18" spans="1:5" x14ac:dyDescent="0.35">
      <c r="A18" s="1" t="s">
        <v>27</v>
      </c>
      <c r="B18" s="1" t="s">
        <v>2</v>
      </c>
      <c r="C18" s="1" t="s">
        <v>3</v>
      </c>
      <c r="D18" s="1" t="s">
        <v>4</v>
      </c>
      <c r="E18" s="1" t="s">
        <v>28</v>
      </c>
    </row>
    <row r="19" spans="1:5" x14ac:dyDescent="0.35">
      <c r="A19" s="2" t="s">
        <v>30</v>
      </c>
      <c r="B19" s="17">
        <v>9108</v>
      </c>
      <c r="C19" s="17">
        <v>5641</v>
      </c>
      <c r="D19" s="17">
        <v>28090</v>
      </c>
      <c r="E19" s="17">
        <v>64089</v>
      </c>
    </row>
    <row r="20" spans="1:5" x14ac:dyDescent="0.35">
      <c r="A20" s="2" t="s">
        <v>31</v>
      </c>
      <c r="B20" s="17">
        <v>-9830</v>
      </c>
      <c r="C20" s="17">
        <v>7375</v>
      </c>
      <c r="D20" s="17">
        <v>-10566</v>
      </c>
      <c r="E20" s="17">
        <v>-20421</v>
      </c>
    </row>
    <row r="21" spans="1:5" ht="14.5" customHeight="1" x14ac:dyDescent="0.35">
      <c r="A21" s="2" t="s">
        <v>32</v>
      </c>
      <c r="B21" s="17">
        <v>1865</v>
      </c>
      <c r="C21" s="17">
        <v>-11617</v>
      </c>
      <c r="D21" s="17">
        <v>-13633</v>
      </c>
      <c r="E21" s="17">
        <v>-42359</v>
      </c>
    </row>
    <row r="22" spans="1:5" x14ac:dyDescent="0.35">
      <c r="A22" s="2" t="s">
        <v>16</v>
      </c>
      <c r="B22" s="17">
        <v>1143</v>
      </c>
      <c r="C22" s="17">
        <v>1399</v>
      </c>
      <c r="D22" s="17">
        <v>3891</v>
      </c>
      <c r="E22" s="17">
        <v>1309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zoomScale="115" zoomScaleNormal="115" workbookViewId="0">
      <selection activeCell="H17" sqref="H17"/>
    </sheetView>
  </sheetViews>
  <sheetFormatPr defaultRowHeight="14.5" x14ac:dyDescent="0.35"/>
  <cols>
    <col min="1" max="1" width="33.26953125" customWidth="1"/>
  </cols>
  <sheetData>
    <row r="1" spans="1:4" ht="18.5" x14ac:dyDescent="0.45">
      <c r="A1" s="35" t="s">
        <v>1</v>
      </c>
    </row>
    <row r="2" spans="1:4" x14ac:dyDescent="0.35">
      <c r="A2" s="1" t="s">
        <v>27</v>
      </c>
      <c r="B2" s="1" t="s">
        <v>3</v>
      </c>
      <c r="C2" s="1" t="s">
        <v>4</v>
      </c>
      <c r="D2" s="1" t="s">
        <v>28</v>
      </c>
    </row>
    <row r="3" spans="1:4" x14ac:dyDescent="0.35">
      <c r="A3" s="2" t="s">
        <v>5</v>
      </c>
      <c r="B3" s="2">
        <v>2670</v>
      </c>
      <c r="C3" s="2">
        <v>3227</v>
      </c>
      <c r="D3" s="2">
        <v>4007</v>
      </c>
    </row>
    <row r="4" spans="1:4" x14ac:dyDescent="0.35">
      <c r="A4" s="2" t="s">
        <v>29</v>
      </c>
      <c r="B4" s="2">
        <v>149</v>
      </c>
      <c r="C4" s="2">
        <v>189</v>
      </c>
      <c r="D4" s="2">
        <v>123</v>
      </c>
    </row>
    <row r="5" spans="1:4" x14ac:dyDescent="0.35">
      <c r="A5" s="2" t="s">
        <v>6</v>
      </c>
      <c r="B5" s="2">
        <v>2521</v>
      </c>
      <c r="C5" s="2">
        <v>3038</v>
      </c>
      <c r="D5" s="2">
        <v>3884</v>
      </c>
    </row>
    <row r="6" spans="1:4" x14ac:dyDescent="0.35">
      <c r="A6" s="2" t="s">
        <v>7</v>
      </c>
      <c r="B6" s="2">
        <v>2131</v>
      </c>
      <c r="C6" s="2">
        <v>2857</v>
      </c>
      <c r="D6" s="2">
        <v>3076</v>
      </c>
    </row>
    <row r="7" spans="1:4" x14ac:dyDescent="0.35">
      <c r="A7" s="2" t="s">
        <v>33</v>
      </c>
      <c r="B7" s="2">
        <v>390</v>
      </c>
      <c r="C7" s="2">
        <v>181</v>
      </c>
      <c r="D7" s="2">
        <v>808</v>
      </c>
    </row>
    <row r="8" spans="1:4" x14ac:dyDescent="0.35">
      <c r="A8" s="2" t="s">
        <v>9</v>
      </c>
      <c r="B8" s="2">
        <v>316</v>
      </c>
      <c r="C8" s="2">
        <v>196</v>
      </c>
      <c r="D8" s="2">
        <v>653</v>
      </c>
    </row>
    <row r="10" spans="1:4" ht="18.5" x14ac:dyDescent="0.45">
      <c r="A10" s="35" t="s">
        <v>10</v>
      </c>
    </row>
    <row r="11" spans="1:4" x14ac:dyDescent="0.35">
      <c r="A11" s="1" t="s">
        <v>27</v>
      </c>
      <c r="B11" s="1" t="s">
        <v>3</v>
      </c>
      <c r="C11" s="1" t="s">
        <v>4</v>
      </c>
      <c r="D11" s="1" t="s">
        <v>28</v>
      </c>
    </row>
    <row r="12" spans="1:4" x14ac:dyDescent="0.35">
      <c r="A12" s="2" t="s">
        <v>11</v>
      </c>
      <c r="B12" s="2">
        <v>1447</v>
      </c>
      <c r="C12" s="2">
        <v>1925</v>
      </c>
      <c r="D12" s="2">
        <v>2089</v>
      </c>
    </row>
    <row r="13" spans="1:4" x14ac:dyDescent="0.35">
      <c r="A13" s="2" t="s">
        <v>12</v>
      </c>
      <c r="B13" s="2">
        <v>4584</v>
      </c>
      <c r="C13" s="2">
        <v>8051</v>
      </c>
      <c r="D13" s="2">
        <v>9140</v>
      </c>
    </row>
    <row r="14" spans="1:4" x14ac:dyDescent="0.35">
      <c r="A14" s="2" t="s">
        <v>13</v>
      </c>
      <c r="B14" s="2">
        <v>2554</v>
      </c>
      <c r="C14" s="2">
        <v>2775</v>
      </c>
      <c r="D14" s="2">
        <v>2325</v>
      </c>
    </row>
    <row r="15" spans="1:4" x14ac:dyDescent="0.35">
      <c r="A15" s="2" t="s">
        <v>14</v>
      </c>
      <c r="B15" s="2">
        <v>2030</v>
      </c>
      <c r="C15" s="2">
        <v>5276</v>
      </c>
      <c r="D15" s="2">
        <v>6815</v>
      </c>
    </row>
    <row r="17" spans="1:4" ht="18.5" x14ac:dyDescent="0.35">
      <c r="A17" s="36" t="s">
        <v>15</v>
      </c>
    </row>
    <row r="18" spans="1:4" x14ac:dyDescent="0.35">
      <c r="A18" s="1" t="s">
        <v>27</v>
      </c>
      <c r="B18" s="1" t="s">
        <v>3</v>
      </c>
      <c r="C18" s="1" t="s">
        <v>4</v>
      </c>
      <c r="D18" s="1" t="s">
        <v>28</v>
      </c>
    </row>
    <row r="19" spans="1:4" x14ac:dyDescent="0.35">
      <c r="A19" s="2" t="s">
        <v>30</v>
      </c>
      <c r="B19" s="2" t="s">
        <v>34</v>
      </c>
      <c r="C19" s="2">
        <v>833</v>
      </c>
      <c r="D19" s="2">
        <v>179</v>
      </c>
    </row>
    <row r="20" spans="1:4" x14ac:dyDescent="0.35">
      <c r="A20" s="2" t="s">
        <v>31</v>
      </c>
      <c r="B20" s="2" t="s">
        <v>34</v>
      </c>
      <c r="C20" s="2">
        <v>-422</v>
      </c>
      <c r="D20" s="2">
        <v>43</v>
      </c>
    </row>
    <row r="21" spans="1:4" ht="14" customHeight="1" x14ac:dyDescent="0.35">
      <c r="A21" s="2" t="s">
        <v>32</v>
      </c>
      <c r="B21" s="2" t="s">
        <v>34</v>
      </c>
      <c r="C21" s="2">
        <v>-45</v>
      </c>
      <c r="D21" s="2">
        <v>-60</v>
      </c>
    </row>
    <row r="22" spans="1:4" x14ac:dyDescent="0.35">
      <c r="A22" s="2" t="s">
        <v>16</v>
      </c>
      <c r="B22" s="2" t="s">
        <v>34</v>
      </c>
      <c r="C22" s="2">
        <v>366</v>
      </c>
      <c r="D22" s="2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0"/>
  <sheetViews>
    <sheetView zoomScale="88" workbookViewId="0">
      <selection activeCell="K21" sqref="K21"/>
    </sheetView>
  </sheetViews>
  <sheetFormatPr defaultRowHeight="14.5" x14ac:dyDescent="0.35"/>
  <cols>
    <col min="1" max="1" width="56.81640625" style="25" bestFit="1" customWidth="1"/>
    <col min="2" max="2" width="11.453125" style="25" customWidth="1"/>
    <col min="3" max="3" width="10.81640625" style="25" bestFit="1" customWidth="1"/>
    <col min="4" max="4" width="10.54296875" style="25" customWidth="1"/>
    <col min="5" max="5" width="9.36328125" style="25" bestFit="1" customWidth="1"/>
    <col min="6" max="16384" width="8.7265625" style="25"/>
  </cols>
  <sheetData>
    <row r="1" spans="1:7" ht="17.5" x14ac:dyDescent="0.35">
      <c r="A1" s="40" t="s">
        <v>35</v>
      </c>
    </row>
    <row r="2" spans="1:7" x14ac:dyDescent="0.35">
      <c r="A2" s="46" t="s">
        <v>36</v>
      </c>
      <c r="B2" s="46" t="s">
        <v>37</v>
      </c>
      <c r="C2" s="46" t="s">
        <v>38</v>
      </c>
      <c r="D2" s="46" t="s">
        <v>39</v>
      </c>
      <c r="E2" s="46" t="s">
        <v>40</v>
      </c>
      <c r="F2" s="46" t="s">
        <v>41</v>
      </c>
      <c r="G2" s="46" t="s">
        <v>42</v>
      </c>
    </row>
    <row r="3" spans="1:7" x14ac:dyDescent="0.35">
      <c r="A3" s="46" t="s">
        <v>5</v>
      </c>
      <c r="B3" s="42">
        <v>4007</v>
      </c>
      <c r="C3" s="42">
        <v>4808</v>
      </c>
      <c r="D3" s="42">
        <v>5673</v>
      </c>
      <c r="E3" s="42">
        <v>6579</v>
      </c>
      <c r="F3" s="42">
        <v>7505</v>
      </c>
      <c r="G3" s="42">
        <v>8405</v>
      </c>
    </row>
    <row r="4" spans="1:7" x14ac:dyDescent="0.35">
      <c r="A4" s="46" t="s">
        <v>87</v>
      </c>
      <c r="B4" s="43"/>
      <c r="C4" s="44">
        <v>0.2</v>
      </c>
      <c r="D4" s="44">
        <v>0.18</v>
      </c>
      <c r="E4" s="44">
        <v>0.16</v>
      </c>
      <c r="F4" s="44">
        <v>0.14000000000000001</v>
      </c>
      <c r="G4" s="44">
        <v>0.12</v>
      </c>
    </row>
    <row r="5" spans="1:7" x14ac:dyDescent="0.35">
      <c r="A5" s="27"/>
      <c r="B5" s="37"/>
      <c r="C5" s="37"/>
      <c r="D5" s="37"/>
    </row>
    <row r="6" spans="1:7" ht="17.5" x14ac:dyDescent="0.35">
      <c r="A6" s="40" t="s">
        <v>43</v>
      </c>
      <c r="B6"/>
      <c r="C6"/>
      <c r="D6"/>
      <c r="E6"/>
      <c r="F6"/>
      <c r="G6"/>
    </row>
    <row r="7" spans="1:7" x14ac:dyDescent="0.35">
      <c r="A7" s="23"/>
      <c r="B7" s="45" t="s">
        <v>37</v>
      </c>
      <c r="C7" s="45" t="s">
        <v>38</v>
      </c>
      <c r="D7" s="45" t="s">
        <v>39</v>
      </c>
      <c r="E7" s="45" t="s">
        <v>40</v>
      </c>
      <c r="F7" s="45" t="s">
        <v>41</v>
      </c>
      <c r="G7" s="45" t="s">
        <v>42</v>
      </c>
    </row>
    <row r="8" spans="1:7" x14ac:dyDescent="0.35">
      <c r="A8" s="47" t="s">
        <v>44</v>
      </c>
      <c r="B8" s="28">
        <v>0.03</v>
      </c>
      <c r="C8" s="28">
        <v>0.03</v>
      </c>
      <c r="D8" s="28">
        <v>0.03</v>
      </c>
      <c r="E8" s="28">
        <v>0.03</v>
      </c>
      <c r="F8" s="28">
        <v>0.03</v>
      </c>
      <c r="G8" s="28">
        <v>0.03</v>
      </c>
    </row>
    <row r="9" spans="1:7" x14ac:dyDescent="0.35">
      <c r="A9" s="47" t="s">
        <v>45</v>
      </c>
      <c r="B9" s="29">
        <v>0.52300000000000002</v>
      </c>
      <c r="C9" s="48">
        <v>0.51</v>
      </c>
      <c r="D9" s="48">
        <v>0.5</v>
      </c>
      <c r="E9" s="48">
        <v>0.48</v>
      </c>
      <c r="F9" s="48">
        <v>0.47</v>
      </c>
      <c r="G9" s="48">
        <v>0.46</v>
      </c>
    </row>
    <row r="10" spans="1:7" x14ac:dyDescent="0.35">
      <c r="A10" s="47" t="s">
        <v>46</v>
      </c>
      <c r="B10" s="29">
        <v>0.24399999999999999</v>
      </c>
      <c r="C10" s="48">
        <v>0.24</v>
      </c>
      <c r="D10" s="48">
        <v>0.23</v>
      </c>
      <c r="E10" s="48">
        <v>0.22</v>
      </c>
      <c r="F10" s="48">
        <v>0.21</v>
      </c>
      <c r="G10" s="48">
        <v>0.2</v>
      </c>
    </row>
    <row r="11" spans="1:7" x14ac:dyDescent="0.35">
      <c r="A11" s="47" t="s">
        <v>47</v>
      </c>
      <c r="B11" s="2">
        <v>808</v>
      </c>
      <c r="C11" s="16">
        <f>C3*(1-(C8+C9+C10))</f>
        <v>1057.7599999999998</v>
      </c>
      <c r="D11" s="16">
        <f t="shared" ref="D11:G11" si="0">D3*(1-(D8+D9+D10))</f>
        <v>1361.52</v>
      </c>
      <c r="E11" s="16">
        <f t="shared" si="0"/>
        <v>1776.3300000000002</v>
      </c>
      <c r="F11" s="16">
        <f t="shared" si="0"/>
        <v>2176.4500000000003</v>
      </c>
      <c r="G11" s="16">
        <f t="shared" si="0"/>
        <v>2605.5500000000006</v>
      </c>
    </row>
    <row r="13" spans="1:7" x14ac:dyDescent="0.35">
      <c r="B13"/>
      <c r="C13"/>
      <c r="D13"/>
      <c r="E13"/>
      <c r="F13"/>
      <c r="G13"/>
    </row>
    <row r="14" spans="1:7" x14ac:dyDescent="0.35">
      <c r="A14"/>
      <c r="B14"/>
      <c r="C14"/>
      <c r="D14"/>
      <c r="E14"/>
      <c r="F14"/>
      <c r="G14"/>
    </row>
    <row r="15" spans="1:7" ht="17.5" x14ac:dyDescent="0.35">
      <c r="A15" s="40" t="s">
        <v>51</v>
      </c>
      <c r="B15"/>
      <c r="C15"/>
      <c r="D15"/>
      <c r="E15"/>
      <c r="F15"/>
      <c r="G15"/>
    </row>
    <row r="16" spans="1:7" x14ac:dyDescent="0.35">
      <c r="A16" s="23"/>
      <c r="B16" s="45" t="s">
        <v>37</v>
      </c>
      <c r="C16" s="45" t="s">
        <v>38</v>
      </c>
      <c r="D16" s="45" t="s">
        <v>39</v>
      </c>
      <c r="E16" s="45" t="s">
        <v>40</v>
      </c>
      <c r="F16" s="45" t="s">
        <v>41</v>
      </c>
      <c r="G16" s="45" t="s">
        <v>42</v>
      </c>
    </row>
    <row r="17" spans="1:7" x14ac:dyDescent="0.35">
      <c r="A17" s="47" t="s">
        <v>8</v>
      </c>
      <c r="B17" s="2">
        <v>808</v>
      </c>
      <c r="C17" s="2">
        <f>C3*(1-(C8+C9+C10))</f>
        <v>1057.7599999999998</v>
      </c>
      <c r="D17" s="2">
        <f t="shared" ref="D17:G17" si="1">D3*(1-(D8+D9+D10))</f>
        <v>1361.52</v>
      </c>
      <c r="E17" s="2">
        <f t="shared" si="1"/>
        <v>1776.3300000000002</v>
      </c>
      <c r="F17" s="2">
        <f t="shared" si="1"/>
        <v>2176.4500000000003</v>
      </c>
      <c r="G17" s="2">
        <f t="shared" si="1"/>
        <v>2605.5500000000006</v>
      </c>
    </row>
    <row r="18" spans="1:7" x14ac:dyDescent="0.35">
      <c r="A18" s="47" t="s">
        <v>49</v>
      </c>
      <c r="B18" s="28">
        <v>0.14000000000000001</v>
      </c>
      <c r="C18" s="28">
        <v>0.14000000000000001</v>
      </c>
      <c r="D18" s="28">
        <v>0.14000000000000001</v>
      </c>
      <c r="E18" s="28">
        <v>0.14000000000000001</v>
      </c>
      <c r="F18" s="28">
        <v>0.14000000000000001</v>
      </c>
      <c r="G18" s="28">
        <v>0.14000000000000001</v>
      </c>
    </row>
    <row r="19" spans="1:7" x14ac:dyDescent="0.35">
      <c r="A19" s="47" t="s">
        <v>50</v>
      </c>
      <c r="B19" s="2">
        <f t="shared" ref="B19:G19" si="2">(B17*(1-B18))</f>
        <v>694.88</v>
      </c>
      <c r="C19" s="2">
        <f t="shared" si="2"/>
        <v>909.67359999999974</v>
      </c>
      <c r="D19" s="2">
        <f t="shared" si="2"/>
        <v>1170.9071999999999</v>
      </c>
      <c r="E19" s="2">
        <f t="shared" si="2"/>
        <v>1527.6438000000001</v>
      </c>
      <c r="F19" s="2">
        <f t="shared" si="2"/>
        <v>1871.7470000000003</v>
      </c>
      <c r="G19" s="2">
        <f t="shared" si="2"/>
        <v>2240.7730000000006</v>
      </c>
    </row>
    <row r="21" spans="1:7" ht="17.5" x14ac:dyDescent="0.35">
      <c r="A21" s="40" t="s">
        <v>52</v>
      </c>
    </row>
    <row r="22" spans="1:7" x14ac:dyDescent="0.35">
      <c r="A22" s="41"/>
      <c r="B22" s="46" t="s">
        <v>37</v>
      </c>
      <c r="C22" s="46" t="s">
        <v>38</v>
      </c>
      <c r="D22" s="46" t="s">
        <v>39</v>
      </c>
      <c r="E22" s="46" t="s">
        <v>40</v>
      </c>
      <c r="F22" s="46" t="s">
        <v>41</v>
      </c>
      <c r="G22" s="46" t="s">
        <v>42</v>
      </c>
    </row>
    <row r="23" spans="1:7" x14ac:dyDescent="0.35">
      <c r="A23" s="50" t="s">
        <v>54</v>
      </c>
      <c r="B23" s="51">
        <f>B3*3%</f>
        <v>120.21</v>
      </c>
      <c r="C23" s="51">
        <f>C3*3%</f>
        <v>144.23999999999998</v>
      </c>
      <c r="D23" s="51">
        <f>D3*3%</f>
        <v>170.19</v>
      </c>
      <c r="E23" s="51">
        <f>E3*3%</f>
        <v>197.37</v>
      </c>
      <c r="F23" s="51">
        <f t="shared" ref="F23:G23" si="3">F3*3%</f>
        <v>225.15</v>
      </c>
      <c r="G23" s="51">
        <f t="shared" si="3"/>
        <v>252.14999999999998</v>
      </c>
    </row>
    <row r="24" spans="1:7" x14ac:dyDescent="0.35">
      <c r="A24" s="50" t="s">
        <v>55</v>
      </c>
      <c r="B24" s="51">
        <f>-(B3*2.5%)</f>
        <v>-100.17500000000001</v>
      </c>
      <c r="C24" s="51">
        <f t="shared" ref="C24:G24" si="4">-(C3*2.5%)</f>
        <v>-120.2</v>
      </c>
      <c r="D24" s="51">
        <f t="shared" si="4"/>
        <v>-141.82500000000002</v>
      </c>
      <c r="E24" s="51">
        <f t="shared" si="4"/>
        <v>-164.47500000000002</v>
      </c>
      <c r="F24" s="51">
        <f t="shared" si="4"/>
        <v>-187.625</v>
      </c>
      <c r="G24" s="51">
        <f t="shared" si="4"/>
        <v>-210.125</v>
      </c>
    </row>
    <row r="25" spans="1:7" x14ac:dyDescent="0.35">
      <c r="A25" s="50" t="s">
        <v>56</v>
      </c>
      <c r="B25" s="51">
        <f>-(B3*1%)</f>
        <v>-40.07</v>
      </c>
      <c r="C25" s="51">
        <f t="shared" ref="C25:G25" si="5">-(C3*1%)</f>
        <v>-48.08</v>
      </c>
      <c r="D25" s="51">
        <f t="shared" si="5"/>
        <v>-56.730000000000004</v>
      </c>
      <c r="E25" s="51">
        <f t="shared" si="5"/>
        <v>-65.790000000000006</v>
      </c>
      <c r="F25" s="51">
        <f t="shared" si="5"/>
        <v>-75.05</v>
      </c>
      <c r="G25" s="51">
        <f t="shared" si="5"/>
        <v>-84.05</v>
      </c>
    </row>
    <row r="26" spans="1:7" x14ac:dyDescent="0.35">
      <c r="A26" s="50" t="s">
        <v>57</v>
      </c>
      <c r="B26" s="52">
        <f>B19+B23+B24+B25</f>
        <v>674.84499999999991</v>
      </c>
      <c r="C26" s="52">
        <f>C19+C23+C24+C25</f>
        <v>885.63359999999955</v>
      </c>
      <c r="D26" s="52">
        <f t="shared" ref="D26:G26" si="6">D19+D23+D24+D25</f>
        <v>1142.5421999999999</v>
      </c>
      <c r="E26" s="52">
        <f t="shared" si="6"/>
        <v>1494.7488000000003</v>
      </c>
      <c r="F26" s="52">
        <f t="shared" si="6"/>
        <v>1834.2220000000004</v>
      </c>
      <c r="G26" s="52">
        <f t="shared" si="6"/>
        <v>2198.7480000000005</v>
      </c>
    </row>
    <row r="27" spans="1:7" x14ac:dyDescent="0.35">
      <c r="A27" s="21" t="s">
        <v>53</v>
      </c>
    </row>
    <row r="28" spans="1:7" ht="17.5" x14ac:dyDescent="0.35">
      <c r="A28" s="40" t="s">
        <v>58</v>
      </c>
    </row>
    <row r="29" spans="1:7" x14ac:dyDescent="0.35">
      <c r="A29" s="41"/>
      <c r="B29" s="46" t="s">
        <v>37</v>
      </c>
      <c r="C29" s="46" t="s">
        <v>38</v>
      </c>
      <c r="D29" s="46" t="s">
        <v>39</v>
      </c>
      <c r="E29" s="46" t="s">
        <v>40</v>
      </c>
      <c r="F29" s="46" t="s">
        <v>41</v>
      </c>
      <c r="G29" s="46" t="s">
        <v>42</v>
      </c>
    </row>
    <row r="30" spans="1:7" x14ac:dyDescent="0.35">
      <c r="A30" s="50" t="s">
        <v>89</v>
      </c>
      <c r="B30" s="54">
        <v>0.1</v>
      </c>
      <c r="C30" s="43"/>
      <c r="D30" s="43"/>
      <c r="E30" s="43"/>
      <c r="F30" s="43"/>
      <c r="G30" s="43"/>
    </row>
    <row r="31" spans="1:7" x14ac:dyDescent="0.35">
      <c r="A31" s="50" t="s">
        <v>90</v>
      </c>
      <c r="B31" s="54">
        <v>0.03</v>
      </c>
      <c r="C31" s="43"/>
      <c r="D31" s="43"/>
      <c r="E31" s="43"/>
      <c r="F31" s="43"/>
      <c r="G31" s="43"/>
    </row>
    <row r="32" spans="1:7" ht="14" customHeight="1" x14ac:dyDescent="0.35">
      <c r="A32" s="50" t="s">
        <v>60</v>
      </c>
      <c r="B32" s="55"/>
      <c r="C32" s="43"/>
      <c r="D32" s="43"/>
      <c r="E32" s="43"/>
      <c r="F32" s="43"/>
      <c r="G32" s="43">
        <f>G26*((1+B31)/(B30-B31))</f>
        <v>32353.006285714291</v>
      </c>
    </row>
    <row r="33" spans="1:7" x14ac:dyDescent="0.35">
      <c r="A33" s="50" t="s">
        <v>61</v>
      </c>
      <c r="B33" s="43"/>
      <c r="C33" s="43">
        <f>1/(1+B30)^1</f>
        <v>0.90909090909090906</v>
      </c>
      <c r="D33" s="43">
        <f>1/(1+B30)^2</f>
        <v>0.82644628099173545</v>
      </c>
      <c r="E33" s="43">
        <f>1/(1+B30)^3</f>
        <v>0.75131480090157754</v>
      </c>
      <c r="F33" s="43">
        <f>1/(1+B30)^4</f>
        <v>0.68301345536507052</v>
      </c>
      <c r="G33" s="43">
        <f>1/(1+B30)^5</f>
        <v>0.62092132305915493</v>
      </c>
    </row>
    <row r="34" spans="1:7" x14ac:dyDescent="0.35">
      <c r="A34" s="50" t="s">
        <v>62</v>
      </c>
      <c r="B34" s="43"/>
      <c r="C34" s="43">
        <f>C26*C33</f>
        <v>805.12145454545407</v>
      </c>
      <c r="D34" s="43">
        <f t="shared" ref="D34:G34" si="7">D26*D33</f>
        <v>944.24975206611555</v>
      </c>
      <c r="E34" s="43">
        <f t="shared" si="7"/>
        <v>1123.0268970698721</v>
      </c>
      <c r="F34" s="43">
        <f t="shared" si="7"/>
        <v>1252.7983061266307</v>
      </c>
      <c r="G34" s="43">
        <f t="shared" si="7"/>
        <v>1365.249517233671</v>
      </c>
    </row>
    <row r="35" spans="1:7" x14ac:dyDescent="0.35">
      <c r="A35" s="50" t="s">
        <v>63</v>
      </c>
      <c r="B35" s="56"/>
      <c r="C35" s="43"/>
      <c r="D35" s="43"/>
      <c r="E35" s="43"/>
      <c r="F35" s="43"/>
      <c r="G35" s="43">
        <f>G32*G33</f>
        <v>20088.671467866872</v>
      </c>
    </row>
    <row r="36" spans="1:7" x14ac:dyDescent="0.35">
      <c r="A36" s="61" t="s">
        <v>88</v>
      </c>
      <c r="B36" s="62">
        <f>SUM(C34:G34)+G35</f>
        <v>25579.117394908615</v>
      </c>
    </row>
    <row r="37" spans="1:7" x14ac:dyDescent="0.35">
      <c r="A37"/>
      <c r="B37" s="37"/>
    </row>
    <row r="38" spans="1:7" x14ac:dyDescent="0.35">
      <c r="A38"/>
    </row>
    <row r="48" spans="1:7" x14ac:dyDescent="0.35">
      <c r="A48" s="5"/>
    </row>
    <row r="50" spans="1:7" x14ac:dyDescent="0.35">
      <c r="A50" s="5"/>
      <c r="B50" s="26"/>
      <c r="C50" s="26"/>
      <c r="D50" s="26"/>
      <c r="E50" s="26"/>
      <c r="F50" s="26"/>
      <c r="G50" s="26"/>
    </row>
    <row r="51" spans="1:7" x14ac:dyDescent="0.35">
      <c r="B51" s="38"/>
      <c r="C51" s="27"/>
      <c r="D51" s="27"/>
      <c r="E51" s="27"/>
      <c r="F51" s="27"/>
      <c r="G51" s="27"/>
    </row>
    <row r="52" spans="1:7" x14ac:dyDescent="0.35">
      <c r="A52" s="5"/>
    </row>
    <row r="53" spans="1:7" x14ac:dyDescent="0.35">
      <c r="A53" s="5"/>
    </row>
    <row r="54" spans="1:7" x14ac:dyDescent="0.35">
      <c r="A54" s="5"/>
      <c r="B54" s="26"/>
      <c r="C54" s="26"/>
      <c r="D54" s="26"/>
      <c r="E54" s="26"/>
      <c r="F54" s="26"/>
      <c r="G54" s="26"/>
    </row>
    <row r="55" spans="1:7" x14ac:dyDescent="0.35">
      <c r="B55" s="39"/>
      <c r="C55" s="27"/>
      <c r="D55" s="27"/>
      <c r="E55" s="27"/>
      <c r="F55" s="27"/>
      <c r="G55" s="27"/>
    </row>
    <row r="56" spans="1:7" x14ac:dyDescent="0.35">
      <c r="A56" s="27"/>
      <c r="B56" s="39"/>
      <c r="C56" s="27"/>
      <c r="D56" s="27"/>
      <c r="E56" s="27"/>
      <c r="F56" s="27"/>
      <c r="G56" s="27"/>
    </row>
    <row r="57" spans="1:7" x14ac:dyDescent="0.35">
      <c r="A57" s="27"/>
      <c r="B57" s="39"/>
      <c r="C57" s="27"/>
      <c r="D57" s="27"/>
      <c r="E57" s="27"/>
      <c r="F57" s="27"/>
      <c r="G57" s="27"/>
    </row>
    <row r="58" spans="1:7" x14ac:dyDescent="0.35">
      <c r="A58" s="27"/>
      <c r="B58" s="27"/>
      <c r="C58" s="27"/>
      <c r="D58" s="27"/>
      <c r="E58" s="27"/>
      <c r="F58" s="27"/>
      <c r="G58" s="27"/>
    </row>
    <row r="61" spans="1:7" x14ac:dyDescent="0.35">
      <c r="A61" s="26"/>
      <c r="B61" s="26"/>
      <c r="C61" s="26"/>
      <c r="D61" s="26"/>
      <c r="E61" s="26"/>
      <c r="F61" s="26"/>
      <c r="G61" s="26"/>
    </row>
    <row r="62" spans="1:7" x14ac:dyDescent="0.35">
      <c r="A62" s="27"/>
      <c r="B62" s="27"/>
      <c r="C62" s="27"/>
      <c r="D62" s="27"/>
      <c r="E62" s="27"/>
      <c r="F62" s="27"/>
      <c r="G62" s="27"/>
    </row>
    <row r="63" spans="1:7" x14ac:dyDescent="0.35">
      <c r="A63" s="27"/>
      <c r="B63" s="37"/>
      <c r="C63" s="37"/>
      <c r="D63" s="37"/>
      <c r="E63" s="37"/>
      <c r="F63" s="37"/>
      <c r="G63" s="37"/>
    </row>
    <row r="64" spans="1:7" x14ac:dyDescent="0.35">
      <c r="A64" s="27"/>
      <c r="B64" s="27"/>
      <c r="C64" s="27"/>
      <c r="D64" s="27"/>
      <c r="E64" s="27"/>
      <c r="F64" s="27"/>
      <c r="G64" s="27"/>
    </row>
    <row r="69" spans="1:7" x14ac:dyDescent="0.35">
      <c r="A69" s="24"/>
    </row>
    <row r="70" spans="1:7" x14ac:dyDescent="0.35">
      <c r="B70"/>
      <c r="C70"/>
      <c r="D70"/>
      <c r="E70"/>
      <c r="F70"/>
      <c r="G70"/>
    </row>
    <row r="71" spans="1:7" x14ac:dyDescent="0.35">
      <c r="A71"/>
      <c r="B71"/>
      <c r="C71"/>
      <c r="D71"/>
      <c r="E71"/>
      <c r="F71"/>
      <c r="G71"/>
    </row>
    <row r="72" spans="1:7" x14ac:dyDescent="0.35">
      <c r="A72" s="18"/>
      <c r="B72" s="18"/>
      <c r="C72" s="18"/>
      <c r="D72" s="18"/>
      <c r="E72" s="18"/>
      <c r="F72" s="18"/>
      <c r="G72" s="18"/>
    </row>
    <row r="73" spans="1:7" x14ac:dyDescent="0.35">
      <c r="A73" s="19"/>
      <c r="B73" s="20"/>
      <c r="C73" s="19"/>
      <c r="D73" s="19"/>
      <c r="E73" s="19"/>
      <c r="F73" s="19"/>
      <c r="G73" s="19"/>
    </row>
    <row r="74" spans="1:7" x14ac:dyDescent="0.35">
      <c r="A74"/>
      <c r="B74"/>
      <c r="C74"/>
      <c r="D74"/>
      <c r="E74"/>
      <c r="F74"/>
      <c r="G74"/>
    </row>
    <row r="75" spans="1:7" x14ac:dyDescent="0.35">
      <c r="A75" s="21"/>
      <c r="B75"/>
      <c r="C75"/>
      <c r="D75"/>
      <c r="E75"/>
      <c r="F75"/>
      <c r="G75"/>
    </row>
    <row r="76" spans="1:7" x14ac:dyDescent="0.35">
      <c r="A76"/>
      <c r="B76"/>
      <c r="C76"/>
      <c r="D76"/>
      <c r="E76"/>
      <c r="F76"/>
      <c r="G76"/>
    </row>
    <row r="77" spans="1:7" x14ac:dyDescent="0.35">
      <c r="A77"/>
      <c r="B77"/>
      <c r="C77"/>
      <c r="D77"/>
      <c r="E77"/>
      <c r="F77"/>
      <c r="G77"/>
    </row>
    <row r="78" spans="1:7" x14ac:dyDescent="0.35">
      <c r="A78"/>
      <c r="B78"/>
      <c r="C78"/>
      <c r="D78"/>
      <c r="E78"/>
      <c r="F78"/>
      <c r="G78"/>
    </row>
    <row r="94" spans="1:7" x14ac:dyDescent="0.35">
      <c r="A94"/>
      <c r="B94"/>
      <c r="C94"/>
      <c r="D94"/>
      <c r="E94"/>
      <c r="F94"/>
      <c r="G94"/>
    </row>
    <row r="95" spans="1:7" x14ac:dyDescent="0.35">
      <c r="A95"/>
      <c r="B95"/>
      <c r="C95"/>
      <c r="D95"/>
      <c r="E95"/>
      <c r="F95"/>
      <c r="G95"/>
    </row>
    <row r="96" spans="1:7" x14ac:dyDescent="0.35">
      <c r="B96"/>
      <c r="C96"/>
      <c r="D96"/>
      <c r="E96"/>
      <c r="F96"/>
      <c r="G96"/>
    </row>
    <row r="97" spans="2:7" x14ac:dyDescent="0.35">
      <c r="B97"/>
      <c r="C97"/>
      <c r="D97"/>
      <c r="E97"/>
      <c r="F97"/>
      <c r="G97"/>
    </row>
    <row r="98" spans="2:7" x14ac:dyDescent="0.35">
      <c r="B98"/>
      <c r="C98"/>
      <c r="D98"/>
      <c r="E98"/>
      <c r="F98"/>
      <c r="G98"/>
    </row>
    <row r="99" spans="2:7" x14ac:dyDescent="0.35">
      <c r="B99"/>
      <c r="C99"/>
      <c r="D99"/>
      <c r="E99"/>
      <c r="F99"/>
      <c r="G99"/>
    </row>
    <row r="100" spans="2:7" x14ac:dyDescent="0.35">
      <c r="B100"/>
      <c r="C100"/>
      <c r="D100"/>
      <c r="E100"/>
      <c r="F100"/>
      <c r="G100"/>
    </row>
    <row r="101" spans="2:7" x14ac:dyDescent="0.35">
      <c r="B101"/>
      <c r="C101"/>
      <c r="D101"/>
      <c r="E101"/>
      <c r="F101"/>
      <c r="G101"/>
    </row>
    <row r="102" spans="2:7" x14ac:dyDescent="0.35">
      <c r="B102"/>
      <c r="C102"/>
      <c r="D102"/>
      <c r="E102"/>
      <c r="F102"/>
      <c r="G102"/>
    </row>
    <row r="103" spans="2:7" x14ac:dyDescent="0.35">
      <c r="B103"/>
      <c r="C103"/>
      <c r="D103"/>
      <c r="E103"/>
      <c r="F103"/>
      <c r="G103"/>
    </row>
    <row r="104" spans="2:7" x14ac:dyDescent="0.35">
      <c r="B104"/>
      <c r="C104"/>
      <c r="D104"/>
      <c r="E104"/>
      <c r="F104"/>
      <c r="G104"/>
    </row>
    <row r="105" spans="2:7" x14ac:dyDescent="0.35">
      <c r="B105"/>
      <c r="C105"/>
      <c r="D105"/>
      <c r="E105"/>
      <c r="F105"/>
      <c r="G105"/>
    </row>
    <row r="106" spans="2:7" x14ac:dyDescent="0.35">
      <c r="B106"/>
      <c r="C106"/>
      <c r="D106"/>
      <c r="E106"/>
      <c r="F106"/>
      <c r="G106"/>
    </row>
    <row r="107" spans="2:7" x14ac:dyDescent="0.35">
      <c r="B107"/>
      <c r="C107"/>
      <c r="D107"/>
      <c r="E107"/>
      <c r="F107"/>
      <c r="G107"/>
    </row>
    <row r="108" spans="2:7" x14ac:dyDescent="0.35">
      <c r="B108"/>
      <c r="C108"/>
      <c r="D108"/>
      <c r="E108"/>
      <c r="F108"/>
      <c r="G108"/>
    </row>
    <row r="109" spans="2:7" x14ac:dyDescent="0.35">
      <c r="B109"/>
      <c r="C109"/>
      <c r="D109"/>
      <c r="E109"/>
      <c r="F109"/>
      <c r="G109"/>
    </row>
    <row r="110" spans="2:7" x14ac:dyDescent="0.35">
      <c r="B110"/>
      <c r="C110"/>
      <c r="D110"/>
      <c r="E110"/>
      <c r="F110"/>
      <c r="G110"/>
    </row>
    <row r="111" spans="2:7" x14ac:dyDescent="0.35">
      <c r="B111"/>
      <c r="C111"/>
      <c r="D111"/>
      <c r="E111"/>
      <c r="F111"/>
      <c r="G111"/>
    </row>
    <row r="112" spans="2:7" x14ac:dyDescent="0.35">
      <c r="B112"/>
      <c r="C112"/>
      <c r="D112"/>
      <c r="E112"/>
      <c r="F112"/>
      <c r="G112"/>
    </row>
    <row r="113" spans="2:7" x14ac:dyDescent="0.35">
      <c r="B113"/>
      <c r="C113"/>
      <c r="D113"/>
      <c r="E113"/>
      <c r="F113"/>
      <c r="G113"/>
    </row>
    <row r="114" spans="2:7" x14ac:dyDescent="0.35">
      <c r="B114"/>
      <c r="C114"/>
      <c r="D114"/>
      <c r="E114"/>
      <c r="F114"/>
      <c r="G114"/>
    </row>
    <row r="115" spans="2:7" x14ac:dyDescent="0.35">
      <c r="B115"/>
      <c r="C115"/>
      <c r="D115"/>
      <c r="E115"/>
      <c r="F115"/>
      <c r="G115"/>
    </row>
    <row r="116" spans="2:7" x14ac:dyDescent="0.35">
      <c r="B116"/>
      <c r="C116"/>
      <c r="D116"/>
      <c r="E116"/>
      <c r="F116"/>
      <c r="G116"/>
    </row>
    <row r="117" spans="2:7" x14ac:dyDescent="0.35">
      <c r="B117"/>
      <c r="C117"/>
      <c r="D117"/>
      <c r="E117"/>
      <c r="F117"/>
      <c r="G117"/>
    </row>
    <row r="118" spans="2:7" x14ac:dyDescent="0.35">
      <c r="B118"/>
      <c r="C118"/>
      <c r="D118"/>
      <c r="E118"/>
      <c r="F118"/>
      <c r="G118"/>
    </row>
    <row r="119" spans="2:7" x14ac:dyDescent="0.35">
      <c r="B119"/>
      <c r="C119"/>
      <c r="D119"/>
      <c r="E119"/>
      <c r="F119"/>
      <c r="G119"/>
    </row>
    <row r="120" spans="2:7" x14ac:dyDescent="0.35">
      <c r="B120"/>
      <c r="C120"/>
      <c r="D120"/>
      <c r="E120"/>
      <c r="F120"/>
      <c r="G120"/>
    </row>
    <row r="121" spans="2:7" x14ac:dyDescent="0.35">
      <c r="B121"/>
      <c r="C121"/>
      <c r="D121"/>
      <c r="E121"/>
      <c r="F121"/>
      <c r="G121"/>
    </row>
    <row r="122" spans="2:7" x14ac:dyDescent="0.35">
      <c r="B122"/>
      <c r="C122"/>
      <c r="D122"/>
      <c r="E122"/>
      <c r="F122"/>
      <c r="G122"/>
    </row>
    <row r="123" spans="2:7" x14ac:dyDescent="0.35">
      <c r="B123"/>
      <c r="C123"/>
      <c r="D123"/>
      <c r="E123"/>
      <c r="F123"/>
      <c r="G123"/>
    </row>
    <row r="124" spans="2:7" x14ac:dyDescent="0.35">
      <c r="B124"/>
      <c r="C124"/>
      <c r="D124"/>
      <c r="E124"/>
      <c r="F124"/>
      <c r="G124"/>
    </row>
    <row r="125" spans="2:7" x14ac:dyDescent="0.35">
      <c r="B125"/>
      <c r="C125"/>
      <c r="D125"/>
      <c r="E125"/>
      <c r="F125"/>
      <c r="G125"/>
    </row>
    <row r="126" spans="2:7" x14ac:dyDescent="0.35">
      <c r="B126"/>
      <c r="C126"/>
      <c r="D126"/>
      <c r="E126"/>
      <c r="F126"/>
      <c r="G126"/>
    </row>
    <row r="127" spans="2:7" x14ac:dyDescent="0.35">
      <c r="B127"/>
      <c r="C127"/>
      <c r="D127"/>
      <c r="E127"/>
      <c r="F127"/>
      <c r="G127"/>
    </row>
    <row r="128" spans="2:7" x14ac:dyDescent="0.35">
      <c r="B128"/>
      <c r="C128"/>
      <c r="D128"/>
      <c r="E128"/>
      <c r="F128"/>
      <c r="G128"/>
    </row>
    <row r="129" spans="2:7" x14ac:dyDescent="0.35">
      <c r="B129"/>
      <c r="C129"/>
      <c r="D129"/>
      <c r="E129"/>
      <c r="F129"/>
      <c r="G129"/>
    </row>
    <row r="130" spans="2:7" x14ac:dyDescent="0.35">
      <c r="B130"/>
      <c r="C130"/>
      <c r="D130"/>
      <c r="E130"/>
      <c r="F130"/>
      <c r="G130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B1DA-02CB-4F2E-803F-1C4FE8DE47C0}">
  <dimension ref="A1:G130"/>
  <sheetViews>
    <sheetView zoomScale="85" zoomScaleNormal="85" workbookViewId="0">
      <selection activeCell="A16" activeCellId="1" sqref="A2:G3 A16:G17"/>
    </sheetView>
  </sheetViews>
  <sheetFormatPr defaultRowHeight="14.5" x14ac:dyDescent="0.35"/>
  <cols>
    <col min="1" max="1" width="56.81640625" style="25" bestFit="1" customWidth="1"/>
    <col min="2" max="2" width="11.453125" style="25" customWidth="1"/>
    <col min="3" max="3" width="10.81640625" style="25" bestFit="1" customWidth="1"/>
    <col min="4" max="4" width="10.54296875" style="25" customWidth="1"/>
    <col min="5" max="5" width="9.36328125" style="25" bestFit="1" customWidth="1"/>
    <col min="6" max="16384" width="8.7265625" style="25"/>
  </cols>
  <sheetData>
    <row r="1" spans="1:7" ht="17.5" x14ac:dyDescent="0.35">
      <c r="A1" s="40" t="s">
        <v>91</v>
      </c>
    </row>
    <row r="2" spans="1:7" x14ac:dyDescent="0.35">
      <c r="A2" s="46" t="s">
        <v>36</v>
      </c>
      <c r="B2" s="46" t="s">
        <v>37</v>
      </c>
      <c r="C2" s="46" t="s">
        <v>38</v>
      </c>
      <c r="D2" s="46" t="s">
        <v>39</v>
      </c>
      <c r="E2" s="46" t="s">
        <v>40</v>
      </c>
      <c r="F2" s="46" t="s">
        <v>41</v>
      </c>
      <c r="G2" s="46" t="s">
        <v>42</v>
      </c>
    </row>
    <row r="3" spans="1:7" x14ac:dyDescent="0.35">
      <c r="A3" s="46" t="s">
        <v>5</v>
      </c>
      <c r="B3" s="42">
        <v>4007</v>
      </c>
      <c r="C3" s="42">
        <f>B3*(1+C4)</f>
        <v>5008.75</v>
      </c>
      <c r="D3" s="42">
        <f t="shared" ref="D3:G3" si="0">C3*(1+D4)</f>
        <v>6160.7624999999998</v>
      </c>
      <c r="E3" s="42">
        <f t="shared" si="0"/>
        <v>7392.9149999999991</v>
      </c>
      <c r="F3" s="42">
        <f t="shared" si="0"/>
        <v>8723.6396999999979</v>
      </c>
      <c r="G3" s="42">
        <f t="shared" si="0"/>
        <v>10119.422051999996</v>
      </c>
    </row>
    <row r="4" spans="1:7" x14ac:dyDescent="0.35">
      <c r="A4" s="46" t="s">
        <v>87</v>
      </c>
      <c r="B4" s="43"/>
      <c r="C4" s="44">
        <v>0.25</v>
      </c>
      <c r="D4" s="44">
        <v>0.23</v>
      </c>
      <c r="E4" s="44">
        <v>0.2</v>
      </c>
      <c r="F4" s="44">
        <v>0.18</v>
      </c>
      <c r="G4" s="44">
        <v>0.16</v>
      </c>
    </row>
    <row r="5" spans="1:7" x14ac:dyDescent="0.35">
      <c r="A5" s="27"/>
      <c r="B5" s="37"/>
      <c r="C5" s="37"/>
      <c r="D5" s="37"/>
    </row>
    <row r="6" spans="1:7" ht="17.5" x14ac:dyDescent="0.35">
      <c r="A6" s="40" t="s">
        <v>43</v>
      </c>
      <c r="B6"/>
      <c r="C6"/>
      <c r="D6"/>
      <c r="E6"/>
      <c r="F6"/>
      <c r="G6"/>
    </row>
    <row r="7" spans="1:7" x14ac:dyDescent="0.35">
      <c r="A7" s="23"/>
      <c r="B7" s="45" t="s">
        <v>37</v>
      </c>
      <c r="C7" s="45" t="s">
        <v>38</v>
      </c>
      <c r="D7" s="45" t="s">
        <v>39</v>
      </c>
      <c r="E7" s="45" t="s">
        <v>40</v>
      </c>
      <c r="F7" s="45" t="s">
        <v>41</v>
      </c>
      <c r="G7" s="45" t="s">
        <v>42</v>
      </c>
    </row>
    <row r="8" spans="1:7" x14ac:dyDescent="0.35">
      <c r="A8" s="47" t="s">
        <v>44</v>
      </c>
      <c r="B8" s="49">
        <v>0.03</v>
      </c>
      <c r="C8" s="49">
        <v>2.8000000000000001E-2</v>
      </c>
      <c r="D8" s="49">
        <v>2.8000000000000001E-2</v>
      </c>
      <c r="E8" s="49">
        <v>2.8000000000000001E-2</v>
      </c>
      <c r="F8" s="49">
        <v>2.8000000000000001E-2</v>
      </c>
      <c r="G8" s="49">
        <v>2.8000000000000001E-2</v>
      </c>
    </row>
    <row r="9" spans="1:7" x14ac:dyDescent="0.35">
      <c r="A9" s="47" t="s">
        <v>45</v>
      </c>
      <c r="B9" s="29">
        <v>0.52300000000000002</v>
      </c>
      <c r="C9" s="48">
        <v>0.5</v>
      </c>
      <c r="D9" s="48">
        <v>0.49</v>
      </c>
      <c r="E9" s="48">
        <v>0.47</v>
      </c>
      <c r="F9" s="48">
        <v>0.45</v>
      </c>
      <c r="G9" s="48">
        <v>0.44</v>
      </c>
    </row>
    <row r="10" spans="1:7" x14ac:dyDescent="0.35">
      <c r="A10" s="47" t="s">
        <v>46</v>
      </c>
      <c r="B10" s="29">
        <v>0.24399999999999999</v>
      </c>
      <c r="C10" s="48">
        <v>0.22</v>
      </c>
      <c r="D10" s="48">
        <v>0.21</v>
      </c>
      <c r="E10" s="48">
        <v>0.2</v>
      </c>
      <c r="F10" s="48">
        <v>0.19</v>
      </c>
      <c r="G10" s="48">
        <v>0.18</v>
      </c>
    </row>
    <row r="11" spans="1:7" x14ac:dyDescent="0.35">
      <c r="A11" s="47" t="s">
        <v>47</v>
      </c>
      <c r="B11" s="2">
        <v>808</v>
      </c>
      <c r="C11" s="16">
        <f>C3*(1-(C8+C9+C10))</f>
        <v>1262.2049999999999</v>
      </c>
      <c r="D11" s="16">
        <f t="shared" ref="D11:G11" si="1">D3*(1-(D8+D9+D10))</f>
        <v>1675.7274</v>
      </c>
      <c r="E11" s="16">
        <f t="shared" si="1"/>
        <v>2232.6603300000002</v>
      </c>
      <c r="F11" s="16">
        <f t="shared" si="1"/>
        <v>2896.248380399999</v>
      </c>
      <c r="G11" s="16">
        <f t="shared" si="1"/>
        <v>3562.0365623039984</v>
      </c>
    </row>
    <row r="13" spans="1:7" x14ac:dyDescent="0.35">
      <c r="B13"/>
      <c r="C13"/>
      <c r="D13"/>
      <c r="E13"/>
      <c r="F13"/>
      <c r="G13"/>
    </row>
    <row r="14" spans="1:7" x14ac:dyDescent="0.35">
      <c r="A14"/>
      <c r="B14"/>
      <c r="C14"/>
      <c r="D14"/>
      <c r="E14"/>
      <c r="F14"/>
      <c r="G14"/>
    </row>
    <row r="15" spans="1:7" ht="17.5" x14ac:dyDescent="0.35">
      <c r="A15" s="40" t="s">
        <v>51</v>
      </c>
      <c r="B15"/>
      <c r="C15"/>
      <c r="D15"/>
      <c r="E15"/>
      <c r="F15"/>
      <c r="G15"/>
    </row>
    <row r="16" spans="1:7" x14ac:dyDescent="0.35">
      <c r="A16" s="23"/>
      <c r="B16" s="45" t="s">
        <v>37</v>
      </c>
      <c r="C16" s="45" t="s">
        <v>38</v>
      </c>
      <c r="D16" s="45" t="s">
        <v>39</v>
      </c>
      <c r="E16" s="45" t="s">
        <v>40</v>
      </c>
      <c r="F16" s="45" t="s">
        <v>41</v>
      </c>
      <c r="G16" s="45" t="s">
        <v>42</v>
      </c>
    </row>
    <row r="17" spans="1:7" x14ac:dyDescent="0.35">
      <c r="A17" s="47" t="s">
        <v>8</v>
      </c>
      <c r="B17" s="2">
        <v>808</v>
      </c>
      <c r="C17" s="2">
        <f>C3*(1-(C8+C9+C10))</f>
        <v>1262.2049999999999</v>
      </c>
      <c r="D17" s="2">
        <f t="shared" ref="D17:G17" si="2">D3*(1-(D8+D9+D10))</f>
        <v>1675.7274</v>
      </c>
      <c r="E17" s="2">
        <f t="shared" si="2"/>
        <v>2232.6603300000002</v>
      </c>
      <c r="F17" s="2">
        <f t="shared" si="2"/>
        <v>2896.248380399999</v>
      </c>
      <c r="G17" s="2">
        <f t="shared" si="2"/>
        <v>3562.0365623039984</v>
      </c>
    </row>
    <row r="18" spans="1:7" x14ac:dyDescent="0.35">
      <c r="A18" s="47" t="s">
        <v>49</v>
      </c>
      <c r="B18" s="28">
        <v>0.14000000000000001</v>
      </c>
      <c r="C18" s="28">
        <v>0.14000000000000001</v>
      </c>
      <c r="D18" s="28">
        <v>0.14000000000000001</v>
      </c>
      <c r="E18" s="28">
        <v>0.14000000000000001</v>
      </c>
      <c r="F18" s="28">
        <v>0.14000000000000001</v>
      </c>
      <c r="G18" s="28">
        <v>0.14000000000000001</v>
      </c>
    </row>
    <row r="19" spans="1:7" x14ac:dyDescent="0.35">
      <c r="A19" s="47" t="s">
        <v>50</v>
      </c>
      <c r="B19" s="2">
        <f t="shared" ref="B19:G19" si="3">(B17*(1-B18))</f>
        <v>694.88</v>
      </c>
      <c r="C19" s="2">
        <f t="shared" si="3"/>
        <v>1085.4963</v>
      </c>
      <c r="D19" s="2">
        <f t="shared" si="3"/>
        <v>1441.1255639999999</v>
      </c>
      <c r="E19" s="2">
        <f t="shared" si="3"/>
        <v>1920.0878838000001</v>
      </c>
      <c r="F19" s="2">
        <f t="shared" si="3"/>
        <v>2490.773607143999</v>
      </c>
      <c r="G19" s="2">
        <f t="shared" si="3"/>
        <v>3063.3514435814386</v>
      </c>
    </row>
    <row r="21" spans="1:7" ht="17.5" x14ac:dyDescent="0.35">
      <c r="A21" s="40" t="s">
        <v>52</v>
      </c>
    </row>
    <row r="22" spans="1:7" x14ac:dyDescent="0.35">
      <c r="A22" s="41"/>
      <c r="B22" s="46" t="s">
        <v>37</v>
      </c>
      <c r="C22" s="46" t="s">
        <v>38</v>
      </c>
      <c r="D22" s="46" t="s">
        <v>39</v>
      </c>
      <c r="E22" s="46" t="s">
        <v>40</v>
      </c>
      <c r="F22" s="46" t="s">
        <v>41</v>
      </c>
      <c r="G22" s="46" t="s">
        <v>42</v>
      </c>
    </row>
    <row r="23" spans="1:7" x14ac:dyDescent="0.35">
      <c r="A23" s="50" t="s">
        <v>54</v>
      </c>
      <c r="B23" s="51">
        <f>B3*3%</f>
        <v>120.21</v>
      </c>
      <c r="C23" s="51">
        <f>C3*3%</f>
        <v>150.26249999999999</v>
      </c>
      <c r="D23" s="51">
        <f>D3*3%</f>
        <v>184.82287499999998</v>
      </c>
      <c r="E23" s="51">
        <f>E3*3%</f>
        <v>221.78744999999995</v>
      </c>
      <c r="F23" s="51">
        <f t="shared" ref="F23:G23" si="4">F3*3%</f>
        <v>261.70919099999992</v>
      </c>
      <c r="G23" s="51">
        <f t="shared" si="4"/>
        <v>303.58266155999985</v>
      </c>
    </row>
    <row r="24" spans="1:7" x14ac:dyDescent="0.35">
      <c r="A24" s="50" t="s">
        <v>55</v>
      </c>
      <c r="B24" s="51">
        <f>-(B3*2.5%)</f>
        <v>-100.17500000000001</v>
      </c>
      <c r="C24" s="51">
        <f t="shared" ref="C24:G24" si="5">-(C3*2.5%)</f>
        <v>-125.21875</v>
      </c>
      <c r="D24" s="51">
        <f t="shared" si="5"/>
        <v>-154.01906250000002</v>
      </c>
      <c r="E24" s="51">
        <f t="shared" si="5"/>
        <v>-184.82287499999998</v>
      </c>
      <c r="F24" s="51">
        <f t="shared" si="5"/>
        <v>-218.09099249999997</v>
      </c>
      <c r="G24" s="51">
        <f t="shared" si="5"/>
        <v>-252.98555129999991</v>
      </c>
    </row>
    <row r="25" spans="1:7" x14ac:dyDescent="0.35">
      <c r="A25" s="50" t="s">
        <v>56</v>
      </c>
      <c r="B25" s="51">
        <f>-(B3*1%)</f>
        <v>-40.07</v>
      </c>
      <c r="C25" s="51">
        <f t="shared" ref="C25:G25" si="6">-(C3*1%)</f>
        <v>-50.087499999999999</v>
      </c>
      <c r="D25" s="51">
        <f t="shared" si="6"/>
        <v>-61.607624999999999</v>
      </c>
      <c r="E25" s="51">
        <f t="shared" si="6"/>
        <v>-73.929149999999993</v>
      </c>
      <c r="F25" s="51">
        <f t="shared" si="6"/>
        <v>-87.236396999999982</v>
      </c>
      <c r="G25" s="51">
        <f t="shared" si="6"/>
        <v>-101.19422051999996</v>
      </c>
    </row>
    <row r="26" spans="1:7" x14ac:dyDescent="0.35">
      <c r="A26" s="50" t="s">
        <v>57</v>
      </c>
      <c r="B26" s="52">
        <f>B19+B23+B24+B25</f>
        <v>674.84499999999991</v>
      </c>
      <c r="C26" s="52">
        <f>C19+C23+C24+C25</f>
        <v>1060.45255</v>
      </c>
      <c r="D26" s="52">
        <f t="shared" ref="D26:G26" si="7">D19+D23+D24+D25</f>
        <v>1410.3217514999999</v>
      </c>
      <c r="E26" s="52">
        <f t="shared" si="7"/>
        <v>1883.1233088000001</v>
      </c>
      <c r="F26" s="52">
        <f t="shared" si="7"/>
        <v>2447.1554086439987</v>
      </c>
      <c r="G26" s="52">
        <f t="shared" si="7"/>
        <v>3012.7543333214389</v>
      </c>
    </row>
    <row r="27" spans="1:7" x14ac:dyDescent="0.35">
      <c r="A27" s="21" t="s">
        <v>53</v>
      </c>
    </row>
    <row r="28" spans="1:7" ht="17.5" x14ac:dyDescent="0.35">
      <c r="A28" s="40" t="s">
        <v>58</v>
      </c>
    </row>
    <row r="29" spans="1:7" x14ac:dyDescent="0.35">
      <c r="A29" s="41"/>
      <c r="B29" s="46" t="s">
        <v>37</v>
      </c>
      <c r="C29" s="46" t="s">
        <v>38</v>
      </c>
      <c r="D29" s="46" t="s">
        <v>39</v>
      </c>
      <c r="E29" s="46" t="s">
        <v>40</v>
      </c>
      <c r="F29" s="46" t="s">
        <v>41</v>
      </c>
      <c r="G29" s="46" t="s">
        <v>42</v>
      </c>
    </row>
    <row r="30" spans="1:7" x14ac:dyDescent="0.35">
      <c r="A30" s="50" t="s">
        <v>89</v>
      </c>
      <c r="B30" s="54">
        <v>0.09</v>
      </c>
      <c r="C30" s="43"/>
      <c r="D30" s="43"/>
      <c r="E30" s="43"/>
      <c r="F30" s="43"/>
      <c r="G30" s="43"/>
    </row>
    <row r="31" spans="1:7" x14ac:dyDescent="0.35">
      <c r="A31" s="50" t="s">
        <v>90</v>
      </c>
      <c r="B31" s="54">
        <v>3.5000000000000003E-2</v>
      </c>
      <c r="C31" s="43"/>
      <c r="D31" s="43"/>
      <c r="E31" s="43"/>
      <c r="F31" s="43"/>
      <c r="G31" s="43"/>
    </row>
    <row r="32" spans="1:7" ht="14" customHeight="1" x14ac:dyDescent="0.35">
      <c r="A32" s="50" t="s">
        <v>60</v>
      </c>
      <c r="B32" s="55"/>
      <c r="C32" s="43"/>
      <c r="D32" s="43"/>
      <c r="E32" s="43"/>
      <c r="F32" s="43"/>
      <c r="G32" s="43">
        <f>G26*((1+B31)/(B30-B31))</f>
        <v>56694.558817957994</v>
      </c>
    </row>
    <row r="33" spans="1:7" x14ac:dyDescent="0.35">
      <c r="A33" s="50" t="s">
        <v>61</v>
      </c>
      <c r="B33" s="43"/>
      <c r="C33" s="43">
        <f>1/(1+B30)^1</f>
        <v>0.9174311926605504</v>
      </c>
      <c r="D33" s="43">
        <f>1/(1+B30)^2</f>
        <v>0.84167999326655996</v>
      </c>
      <c r="E33" s="43">
        <f>1/(1+B30)^3</f>
        <v>0.77218348006106419</v>
      </c>
      <c r="F33" s="43">
        <f>1/(1+B30)^4</f>
        <v>0.7084252110651964</v>
      </c>
      <c r="G33" s="43">
        <f>1/(1+B30)^5</f>
        <v>0.64993138629834524</v>
      </c>
    </row>
    <row r="34" spans="1:7" x14ac:dyDescent="0.35">
      <c r="A34" s="50" t="s">
        <v>62</v>
      </c>
      <c r="B34" s="43"/>
      <c r="C34" s="43">
        <f>C26*C33</f>
        <v>972.89224770642193</v>
      </c>
      <c r="D34" s="43">
        <f t="shared" ref="D34:G34" si="8">D26*D33</f>
        <v>1187.0396023062031</v>
      </c>
      <c r="E34" s="43">
        <f t="shared" si="8"/>
        <v>1454.1167099732902</v>
      </c>
      <c r="F34" s="43">
        <f t="shared" si="8"/>
        <v>1733.6265868779617</v>
      </c>
      <c r="G34" s="43">
        <f t="shared" si="8"/>
        <v>1958.0836004319497</v>
      </c>
    </row>
    <row r="35" spans="1:7" x14ac:dyDescent="0.35">
      <c r="A35" s="50" t="s">
        <v>63</v>
      </c>
      <c r="B35" s="56"/>
      <c r="C35" s="43"/>
      <c r="D35" s="43"/>
      <c r="E35" s="43"/>
      <c r="F35" s="43"/>
      <c r="G35" s="43">
        <f>G32*G33</f>
        <v>36847.57320812851</v>
      </c>
    </row>
    <row r="36" spans="1:7" x14ac:dyDescent="0.35">
      <c r="A36" s="59" t="s">
        <v>88</v>
      </c>
      <c r="B36" s="60">
        <f>SUM(C34:G34)+G35</f>
        <v>44153.331955424335</v>
      </c>
    </row>
    <row r="37" spans="1:7" x14ac:dyDescent="0.35">
      <c r="A37"/>
      <c r="B37" s="37"/>
    </row>
    <row r="38" spans="1:7" x14ac:dyDescent="0.35">
      <c r="A38"/>
    </row>
    <row r="48" spans="1:7" x14ac:dyDescent="0.35">
      <c r="A48" s="5"/>
    </row>
    <row r="50" spans="1:7" x14ac:dyDescent="0.35">
      <c r="A50" s="5"/>
      <c r="B50" s="26"/>
      <c r="C50" s="26"/>
      <c r="D50" s="26"/>
      <c r="E50" s="26"/>
      <c r="F50" s="26"/>
      <c r="G50" s="26"/>
    </row>
    <row r="51" spans="1:7" x14ac:dyDescent="0.35">
      <c r="B51" s="38"/>
      <c r="C51" s="27"/>
      <c r="D51" s="27"/>
      <c r="E51" s="27"/>
      <c r="F51" s="27"/>
      <c r="G51" s="27"/>
    </row>
    <row r="52" spans="1:7" x14ac:dyDescent="0.35">
      <c r="A52" s="5"/>
    </row>
    <row r="53" spans="1:7" x14ac:dyDescent="0.35">
      <c r="A53" s="5"/>
    </row>
    <row r="54" spans="1:7" x14ac:dyDescent="0.35">
      <c r="A54" s="5"/>
      <c r="B54" s="26"/>
      <c r="C54" s="26"/>
      <c r="D54" s="26"/>
      <c r="E54" s="26"/>
      <c r="F54" s="26"/>
      <c r="G54" s="26"/>
    </row>
    <row r="55" spans="1:7" x14ac:dyDescent="0.35">
      <c r="B55" s="39"/>
      <c r="C55" s="27"/>
      <c r="D55" s="27"/>
      <c r="E55" s="27"/>
      <c r="F55" s="27"/>
      <c r="G55" s="27"/>
    </row>
    <row r="56" spans="1:7" x14ac:dyDescent="0.35">
      <c r="A56" s="27"/>
      <c r="B56" s="39"/>
      <c r="C56" s="27"/>
      <c r="D56" s="27"/>
      <c r="E56" s="27"/>
      <c r="F56" s="27"/>
      <c r="G56" s="27"/>
    </row>
    <row r="57" spans="1:7" x14ac:dyDescent="0.35">
      <c r="A57" s="27"/>
      <c r="B57" s="39"/>
      <c r="C57" s="27"/>
      <c r="D57" s="27"/>
      <c r="E57" s="27"/>
      <c r="F57" s="27"/>
      <c r="G57" s="27"/>
    </row>
    <row r="58" spans="1:7" x14ac:dyDescent="0.35">
      <c r="A58" s="27"/>
      <c r="B58" s="27"/>
      <c r="C58" s="27"/>
      <c r="D58" s="27"/>
      <c r="E58" s="27"/>
      <c r="F58" s="27"/>
      <c r="G58" s="27"/>
    </row>
    <row r="61" spans="1:7" x14ac:dyDescent="0.35">
      <c r="A61" s="26"/>
      <c r="B61" s="26"/>
      <c r="C61" s="26"/>
      <c r="D61" s="26"/>
      <c r="E61" s="26"/>
      <c r="F61" s="26"/>
      <c r="G61" s="26"/>
    </row>
    <row r="62" spans="1:7" x14ac:dyDescent="0.35">
      <c r="A62" s="27"/>
      <c r="B62" s="27"/>
      <c r="C62" s="27"/>
      <c r="D62" s="27"/>
      <c r="E62" s="27"/>
      <c r="F62" s="27"/>
      <c r="G62" s="27"/>
    </row>
    <row r="63" spans="1:7" x14ac:dyDescent="0.35">
      <c r="A63" s="27"/>
      <c r="B63" s="37"/>
      <c r="C63" s="37"/>
      <c r="D63" s="37"/>
      <c r="E63" s="37"/>
      <c r="F63" s="37"/>
      <c r="G63" s="37"/>
    </row>
    <row r="64" spans="1:7" x14ac:dyDescent="0.35">
      <c r="A64" s="27"/>
      <c r="B64" s="27"/>
      <c r="C64" s="27"/>
      <c r="D64" s="27"/>
      <c r="E64" s="27"/>
      <c r="F64" s="27"/>
      <c r="G64" s="27"/>
    </row>
    <row r="69" spans="1:7" x14ac:dyDescent="0.35">
      <c r="A69" s="24"/>
    </row>
    <row r="70" spans="1:7" x14ac:dyDescent="0.35">
      <c r="B70"/>
      <c r="C70"/>
      <c r="D70"/>
      <c r="E70"/>
      <c r="F70"/>
      <c r="G70"/>
    </row>
    <row r="71" spans="1:7" x14ac:dyDescent="0.35">
      <c r="A71"/>
      <c r="B71"/>
      <c r="C71"/>
      <c r="D71"/>
      <c r="E71"/>
      <c r="F71"/>
      <c r="G71"/>
    </row>
    <row r="72" spans="1:7" x14ac:dyDescent="0.35">
      <c r="A72" s="18"/>
      <c r="B72" s="18"/>
      <c r="C72" s="18"/>
      <c r="D72" s="18"/>
      <c r="E72" s="18"/>
      <c r="F72" s="18"/>
      <c r="G72" s="18"/>
    </row>
    <row r="73" spans="1:7" x14ac:dyDescent="0.35">
      <c r="A73" s="19"/>
      <c r="B73" s="20"/>
      <c r="C73" s="19"/>
      <c r="D73" s="19"/>
      <c r="E73" s="19"/>
      <c r="F73" s="19"/>
      <c r="G73" s="19"/>
    </row>
    <row r="74" spans="1:7" x14ac:dyDescent="0.35">
      <c r="A74"/>
      <c r="B74"/>
      <c r="C74"/>
      <c r="D74"/>
      <c r="E74"/>
      <c r="F74"/>
      <c r="G74"/>
    </row>
    <row r="75" spans="1:7" x14ac:dyDescent="0.35">
      <c r="A75" s="21"/>
      <c r="B75"/>
      <c r="C75"/>
      <c r="D75"/>
      <c r="E75"/>
      <c r="F75"/>
      <c r="G75"/>
    </row>
    <row r="76" spans="1:7" x14ac:dyDescent="0.35">
      <c r="A76"/>
      <c r="B76"/>
      <c r="C76"/>
      <c r="D76"/>
      <c r="E76"/>
      <c r="F76"/>
      <c r="G76"/>
    </row>
    <row r="77" spans="1:7" x14ac:dyDescent="0.35">
      <c r="A77"/>
      <c r="B77"/>
      <c r="C77"/>
      <c r="D77"/>
      <c r="E77"/>
      <c r="F77"/>
      <c r="G77"/>
    </row>
    <row r="78" spans="1:7" x14ac:dyDescent="0.35">
      <c r="A78"/>
      <c r="B78"/>
      <c r="C78"/>
      <c r="D78"/>
      <c r="E78"/>
      <c r="F78"/>
      <c r="G78"/>
    </row>
    <row r="94" spans="1:7" x14ac:dyDescent="0.35">
      <c r="A94"/>
      <c r="B94"/>
      <c r="C94"/>
      <c r="D94"/>
      <c r="E94"/>
      <c r="F94"/>
      <c r="G94"/>
    </row>
    <row r="95" spans="1:7" x14ac:dyDescent="0.35">
      <c r="A95"/>
      <c r="B95"/>
      <c r="C95"/>
      <c r="D95"/>
      <c r="E95"/>
      <c r="F95"/>
      <c r="G95"/>
    </row>
    <row r="96" spans="1:7" x14ac:dyDescent="0.35">
      <c r="B96"/>
      <c r="C96"/>
      <c r="D96"/>
      <c r="E96"/>
      <c r="F96"/>
      <c r="G96"/>
    </row>
    <row r="97" spans="2:7" x14ac:dyDescent="0.35">
      <c r="B97"/>
      <c r="C97"/>
      <c r="D97"/>
      <c r="E97"/>
      <c r="F97"/>
      <c r="G97"/>
    </row>
    <row r="98" spans="2:7" x14ac:dyDescent="0.35">
      <c r="B98"/>
      <c r="C98"/>
      <c r="D98"/>
      <c r="E98"/>
      <c r="F98"/>
      <c r="G98"/>
    </row>
    <row r="99" spans="2:7" x14ac:dyDescent="0.35">
      <c r="B99"/>
      <c r="C99"/>
      <c r="D99"/>
      <c r="E99"/>
      <c r="F99"/>
      <c r="G99"/>
    </row>
    <row r="100" spans="2:7" x14ac:dyDescent="0.35">
      <c r="B100"/>
      <c r="C100"/>
      <c r="D100"/>
      <c r="E100"/>
      <c r="F100"/>
      <c r="G100"/>
    </row>
    <row r="101" spans="2:7" x14ac:dyDescent="0.35">
      <c r="B101"/>
      <c r="C101"/>
      <c r="D101"/>
      <c r="E101"/>
      <c r="F101"/>
      <c r="G101"/>
    </row>
    <row r="102" spans="2:7" x14ac:dyDescent="0.35">
      <c r="B102"/>
      <c r="C102"/>
      <c r="D102"/>
      <c r="E102"/>
      <c r="F102"/>
      <c r="G102"/>
    </row>
    <row r="103" spans="2:7" x14ac:dyDescent="0.35">
      <c r="B103"/>
      <c r="C103"/>
      <c r="D103"/>
      <c r="E103"/>
      <c r="F103"/>
      <c r="G103"/>
    </row>
    <row r="104" spans="2:7" x14ac:dyDescent="0.35">
      <c r="B104"/>
      <c r="C104"/>
      <c r="D104"/>
      <c r="E104"/>
      <c r="F104"/>
      <c r="G104"/>
    </row>
    <row r="105" spans="2:7" x14ac:dyDescent="0.35">
      <c r="B105"/>
      <c r="C105"/>
      <c r="D105"/>
      <c r="E105"/>
      <c r="F105"/>
      <c r="G105"/>
    </row>
    <row r="106" spans="2:7" x14ac:dyDescent="0.35">
      <c r="B106"/>
      <c r="C106"/>
      <c r="D106"/>
      <c r="E106"/>
      <c r="F106"/>
      <c r="G106"/>
    </row>
    <row r="107" spans="2:7" x14ac:dyDescent="0.35">
      <c r="B107"/>
      <c r="C107"/>
      <c r="D107"/>
      <c r="E107"/>
      <c r="F107"/>
      <c r="G107"/>
    </row>
    <row r="108" spans="2:7" x14ac:dyDescent="0.35">
      <c r="B108"/>
      <c r="C108"/>
      <c r="D108"/>
      <c r="E108"/>
      <c r="F108"/>
      <c r="G108"/>
    </row>
    <row r="109" spans="2:7" x14ac:dyDescent="0.35">
      <c r="B109"/>
      <c r="C109"/>
      <c r="D109"/>
      <c r="E109"/>
      <c r="F109"/>
      <c r="G109"/>
    </row>
    <row r="110" spans="2:7" x14ac:dyDescent="0.35">
      <c r="B110"/>
      <c r="C110"/>
      <c r="D110"/>
      <c r="E110"/>
      <c r="F110"/>
      <c r="G110"/>
    </row>
    <row r="111" spans="2:7" x14ac:dyDescent="0.35">
      <c r="B111"/>
      <c r="C111"/>
      <c r="D111"/>
      <c r="E111"/>
      <c r="F111"/>
      <c r="G111"/>
    </row>
    <row r="112" spans="2:7" x14ac:dyDescent="0.35">
      <c r="B112"/>
      <c r="C112"/>
      <c r="D112"/>
      <c r="E112"/>
      <c r="F112"/>
      <c r="G112"/>
    </row>
    <row r="113" spans="2:7" x14ac:dyDescent="0.35">
      <c r="B113"/>
      <c r="C113"/>
      <c r="D113"/>
      <c r="E113"/>
      <c r="F113"/>
      <c r="G113"/>
    </row>
    <row r="114" spans="2:7" x14ac:dyDescent="0.35">
      <c r="B114"/>
      <c r="C114"/>
      <c r="D114"/>
      <c r="E114"/>
      <c r="F114"/>
      <c r="G114"/>
    </row>
    <row r="115" spans="2:7" x14ac:dyDescent="0.35">
      <c r="B115"/>
      <c r="C115"/>
      <c r="D115"/>
      <c r="E115"/>
      <c r="F115"/>
      <c r="G115"/>
    </row>
    <row r="116" spans="2:7" x14ac:dyDescent="0.35">
      <c r="B116"/>
      <c r="C116"/>
      <c r="D116"/>
      <c r="E116"/>
      <c r="F116"/>
      <c r="G116"/>
    </row>
    <row r="117" spans="2:7" x14ac:dyDescent="0.35">
      <c r="B117"/>
      <c r="C117"/>
      <c r="D117"/>
      <c r="E117"/>
      <c r="F117"/>
      <c r="G117"/>
    </row>
    <row r="118" spans="2:7" x14ac:dyDescent="0.35">
      <c r="B118"/>
      <c r="C118"/>
      <c r="D118"/>
      <c r="E118"/>
      <c r="F118"/>
      <c r="G118"/>
    </row>
    <row r="119" spans="2:7" x14ac:dyDescent="0.35">
      <c r="B119"/>
      <c r="C119"/>
      <c r="D119"/>
      <c r="E119"/>
      <c r="F119"/>
      <c r="G119"/>
    </row>
    <row r="120" spans="2:7" x14ac:dyDescent="0.35">
      <c r="B120"/>
      <c r="C120"/>
      <c r="D120"/>
      <c r="E120"/>
      <c r="F120"/>
      <c r="G120"/>
    </row>
    <row r="121" spans="2:7" x14ac:dyDescent="0.35">
      <c r="B121"/>
      <c r="C121"/>
      <c r="D121"/>
      <c r="E121"/>
      <c r="F121"/>
      <c r="G121"/>
    </row>
    <row r="122" spans="2:7" x14ac:dyDescent="0.35">
      <c r="B122"/>
      <c r="C122"/>
      <c r="D122"/>
      <c r="E122"/>
      <c r="F122"/>
      <c r="G122"/>
    </row>
    <row r="123" spans="2:7" x14ac:dyDescent="0.35">
      <c r="B123"/>
      <c r="C123"/>
      <c r="D123"/>
      <c r="E123"/>
      <c r="F123"/>
      <c r="G123"/>
    </row>
    <row r="124" spans="2:7" x14ac:dyDescent="0.35">
      <c r="B124"/>
      <c r="C124"/>
      <c r="D124"/>
      <c r="E124"/>
      <c r="F124"/>
      <c r="G124"/>
    </row>
    <row r="125" spans="2:7" x14ac:dyDescent="0.35">
      <c r="B125"/>
      <c r="C125"/>
      <c r="D125"/>
      <c r="E125"/>
      <c r="F125"/>
      <c r="G125"/>
    </row>
    <row r="126" spans="2:7" x14ac:dyDescent="0.35">
      <c r="B126"/>
      <c r="C126"/>
      <c r="D126"/>
      <c r="E126"/>
      <c r="F126"/>
      <c r="G126"/>
    </row>
    <row r="127" spans="2:7" x14ac:dyDescent="0.35">
      <c r="B127"/>
      <c r="C127"/>
      <c r="D127"/>
      <c r="E127"/>
      <c r="F127"/>
      <c r="G127"/>
    </row>
    <row r="128" spans="2:7" x14ac:dyDescent="0.35">
      <c r="B128"/>
      <c r="C128"/>
      <c r="D128"/>
      <c r="E128"/>
      <c r="F128"/>
      <c r="G128"/>
    </row>
    <row r="129" spans="2:7" x14ac:dyDescent="0.35">
      <c r="B129"/>
      <c r="C129"/>
      <c r="D129"/>
      <c r="E129"/>
      <c r="F129"/>
      <c r="G129"/>
    </row>
    <row r="130" spans="2:7" x14ac:dyDescent="0.35">
      <c r="B130"/>
      <c r="C130"/>
      <c r="D130"/>
      <c r="E130"/>
      <c r="F130"/>
      <c r="G13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8788-6188-4A58-BB56-238539AA25B8}">
  <dimension ref="A1:G130"/>
  <sheetViews>
    <sheetView zoomScale="78" zoomScaleNormal="115" workbookViewId="0">
      <selection activeCell="B3" sqref="B3"/>
    </sheetView>
  </sheetViews>
  <sheetFormatPr defaultRowHeight="14.5" x14ac:dyDescent="0.35"/>
  <cols>
    <col min="1" max="1" width="56.81640625" style="25" bestFit="1" customWidth="1"/>
    <col min="2" max="2" width="11.453125" style="25" customWidth="1"/>
    <col min="3" max="3" width="12.36328125" style="25" bestFit="1" customWidth="1"/>
    <col min="4" max="4" width="10.54296875" style="25" customWidth="1"/>
    <col min="5" max="7" width="12.36328125" style="25" bestFit="1" customWidth="1"/>
    <col min="8" max="16384" width="8.7265625" style="25"/>
  </cols>
  <sheetData>
    <row r="1" spans="1:7" ht="17.5" x14ac:dyDescent="0.35">
      <c r="A1" s="40" t="s">
        <v>92</v>
      </c>
    </row>
    <row r="2" spans="1:7" x14ac:dyDescent="0.35">
      <c r="A2" s="46" t="s">
        <v>36</v>
      </c>
      <c r="B2" s="46" t="s">
        <v>37</v>
      </c>
      <c r="C2" s="46" t="s">
        <v>38</v>
      </c>
      <c r="D2" s="46" t="s">
        <v>39</v>
      </c>
      <c r="E2" s="46" t="s">
        <v>40</v>
      </c>
      <c r="F2" s="46" t="s">
        <v>41</v>
      </c>
      <c r="G2" s="46" t="s">
        <v>42</v>
      </c>
    </row>
    <row r="3" spans="1:7" x14ac:dyDescent="0.35">
      <c r="A3" s="46" t="s">
        <v>5</v>
      </c>
      <c r="B3" s="42">
        <v>4007</v>
      </c>
      <c r="C3" s="42">
        <f>B3*(1+C4)</f>
        <v>4487.84</v>
      </c>
      <c r="D3" s="42">
        <f t="shared" ref="D3:G3" si="0">C3*(1+D4)</f>
        <v>4936.6240000000007</v>
      </c>
      <c r="E3" s="42">
        <f t="shared" si="0"/>
        <v>5331.5539200000012</v>
      </c>
      <c r="F3" s="42">
        <f t="shared" si="0"/>
        <v>5704.7626944000012</v>
      </c>
      <c r="G3" s="42">
        <f t="shared" si="0"/>
        <v>6047.0484560640016</v>
      </c>
    </row>
    <row r="4" spans="1:7" x14ac:dyDescent="0.35">
      <c r="A4" s="46" t="s">
        <v>87</v>
      </c>
      <c r="B4" s="43"/>
      <c r="C4" s="44">
        <v>0.12</v>
      </c>
      <c r="D4" s="44">
        <v>0.1</v>
      </c>
      <c r="E4" s="44">
        <v>0.08</v>
      </c>
      <c r="F4" s="44">
        <v>7.0000000000000007E-2</v>
      </c>
      <c r="G4" s="44">
        <v>0.06</v>
      </c>
    </row>
    <row r="5" spans="1:7" x14ac:dyDescent="0.35">
      <c r="A5" s="27"/>
      <c r="B5" s="37"/>
      <c r="C5" s="37"/>
      <c r="D5" s="37"/>
    </row>
    <row r="6" spans="1:7" ht="17.5" x14ac:dyDescent="0.35">
      <c r="A6" s="40" t="s">
        <v>43</v>
      </c>
      <c r="B6"/>
      <c r="C6"/>
      <c r="D6"/>
      <c r="E6"/>
      <c r="F6"/>
      <c r="G6"/>
    </row>
    <row r="7" spans="1:7" x14ac:dyDescent="0.35">
      <c r="A7" s="23"/>
      <c r="B7" s="45" t="s">
        <v>37</v>
      </c>
      <c r="C7" s="45" t="s">
        <v>38</v>
      </c>
      <c r="D7" s="45" t="s">
        <v>39</v>
      </c>
      <c r="E7" s="45" t="s">
        <v>40</v>
      </c>
      <c r="F7" s="45" t="s">
        <v>41</v>
      </c>
      <c r="G7" s="45" t="s">
        <v>42</v>
      </c>
    </row>
    <row r="8" spans="1:7" x14ac:dyDescent="0.35">
      <c r="A8" s="47" t="s">
        <v>44</v>
      </c>
      <c r="B8" s="49">
        <v>0.03</v>
      </c>
      <c r="C8" s="49">
        <v>3.2000000000000001E-2</v>
      </c>
      <c r="D8" s="49">
        <v>3.2000000000000001E-2</v>
      </c>
      <c r="E8" s="49">
        <v>3.2000000000000001E-2</v>
      </c>
      <c r="F8" s="49">
        <v>3.2000000000000001E-2</v>
      </c>
      <c r="G8" s="49">
        <v>3.2000000000000001E-2</v>
      </c>
    </row>
    <row r="9" spans="1:7" x14ac:dyDescent="0.35">
      <c r="A9" s="47" t="s">
        <v>45</v>
      </c>
      <c r="B9" s="29">
        <v>0.52300000000000002</v>
      </c>
      <c r="C9" s="48">
        <v>0.52</v>
      </c>
      <c r="D9" s="48">
        <v>0.52</v>
      </c>
      <c r="E9" s="48">
        <v>0.51</v>
      </c>
      <c r="F9" s="48">
        <v>0.5</v>
      </c>
      <c r="G9" s="48">
        <v>0.49</v>
      </c>
    </row>
    <row r="10" spans="1:7" x14ac:dyDescent="0.35">
      <c r="A10" s="47" t="s">
        <v>46</v>
      </c>
      <c r="B10" s="29">
        <v>0.24399999999999999</v>
      </c>
      <c r="C10" s="48">
        <v>0.24</v>
      </c>
      <c r="D10" s="48">
        <v>0.24</v>
      </c>
      <c r="E10" s="48">
        <v>0.23</v>
      </c>
      <c r="F10" s="48">
        <v>0.23</v>
      </c>
      <c r="G10" s="48">
        <v>0.22</v>
      </c>
    </row>
    <row r="11" spans="1:7" x14ac:dyDescent="0.35">
      <c r="A11" s="47" t="s">
        <v>47</v>
      </c>
      <c r="B11" s="2">
        <v>808</v>
      </c>
      <c r="C11" s="16">
        <f>C3*(1-(C8+C9+C10))</f>
        <v>933.47071999999991</v>
      </c>
      <c r="D11" s="16">
        <f t="shared" ref="D11:G11" si="1">D3*(1-(D8+D9+D10))</f>
        <v>1026.8177920000001</v>
      </c>
      <c r="E11" s="16">
        <f t="shared" si="1"/>
        <v>1215.5942937600003</v>
      </c>
      <c r="F11" s="16">
        <f t="shared" si="1"/>
        <v>1357.7335212672003</v>
      </c>
      <c r="G11" s="16">
        <f t="shared" si="1"/>
        <v>1560.1385016645124</v>
      </c>
    </row>
    <row r="13" spans="1:7" x14ac:dyDescent="0.35">
      <c r="B13"/>
      <c r="C13"/>
      <c r="D13"/>
      <c r="E13"/>
      <c r="F13"/>
      <c r="G13"/>
    </row>
    <row r="14" spans="1:7" x14ac:dyDescent="0.35">
      <c r="A14"/>
      <c r="B14"/>
      <c r="C14"/>
      <c r="D14"/>
      <c r="E14"/>
      <c r="F14"/>
      <c r="G14"/>
    </row>
    <row r="15" spans="1:7" ht="17.5" x14ac:dyDescent="0.35">
      <c r="A15" s="40" t="s">
        <v>51</v>
      </c>
      <c r="B15"/>
      <c r="C15"/>
      <c r="D15"/>
      <c r="E15"/>
      <c r="F15"/>
      <c r="G15"/>
    </row>
    <row r="16" spans="1:7" x14ac:dyDescent="0.35">
      <c r="A16" s="23"/>
      <c r="B16" s="45" t="s">
        <v>37</v>
      </c>
      <c r="C16" s="45" t="s">
        <v>38</v>
      </c>
      <c r="D16" s="45" t="s">
        <v>39</v>
      </c>
      <c r="E16" s="45" t="s">
        <v>40</v>
      </c>
      <c r="F16" s="45" t="s">
        <v>41</v>
      </c>
      <c r="G16" s="45" t="s">
        <v>42</v>
      </c>
    </row>
    <row r="17" spans="1:7" x14ac:dyDescent="0.35">
      <c r="A17" s="47" t="s">
        <v>8</v>
      </c>
      <c r="B17" s="2">
        <v>808</v>
      </c>
      <c r="C17" s="2">
        <f>C3*(1-(C8+C9+C10))</f>
        <v>933.47071999999991</v>
      </c>
      <c r="D17" s="2">
        <f t="shared" ref="D17:G17" si="2">D3*(1-(D8+D9+D10))</f>
        <v>1026.8177920000001</v>
      </c>
      <c r="E17" s="2">
        <f t="shared" si="2"/>
        <v>1215.5942937600003</v>
      </c>
      <c r="F17" s="2">
        <f t="shared" si="2"/>
        <v>1357.7335212672003</v>
      </c>
      <c r="G17" s="2">
        <f t="shared" si="2"/>
        <v>1560.1385016645124</v>
      </c>
    </row>
    <row r="18" spans="1:7" x14ac:dyDescent="0.35">
      <c r="A18" s="47" t="s">
        <v>49</v>
      </c>
      <c r="B18" s="28">
        <v>0.14000000000000001</v>
      </c>
      <c r="C18" s="28">
        <v>0.14000000000000001</v>
      </c>
      <c r="D18" s="28">
        <v>0.14000000000000001</v>
      </c>
      <c r="E18" s="28">
        <v>0.14000000000000001</v>
      </c>
      <c r="F18" s="28">
        <v>0.14000000000000001</v>
      </c>
      <c r="G18" s="28">
        <v>0.14000000000000001</v>
      </c>
    </row>
    <row r="19" spans="1:7" x14ac:dyDescent="0.35">
      <c r="A19" s="47" t="s">
        <v>50</v>
      </c>
      <c r="B19" s="2">
        <f t="shared" ref="B19:G19" si="3">(B17*(1-B18))</f>
        <v>694.88</v>
      </c>
      <c r="C19" s="2">
        <f t="shared" si="3"/>
        <v>802.7848191999999</v>
      </c>
      <c r="D19" s="2">
        <f t="shared" si="3"/>
        <v>883.06330112000001</v>
      </c>
      <c r="E19" s="2">
        <f t="shared" si="3"/>
        <v>1045.4110926336002</v>
      </c>
      <c r="F19" s="2">
        <f t="shared" si="3"/>
        <v>1167.6508282897923</v>
      </c>
      <c r="G19" s="2">
        <f t="shared" si="3"/>
        <v>1341.7191114314808</v>
      </c>
    </row>
    <row r="21" spans="1:7" ht="17.5" x14ac:dyDescent="0.35">
      <c r="A21" s="40" t="s">
        <v>52</v>
      </c>
    </row>
    <row r="22" spans="1:7" x14ac:dyDescent="0.35">
      <c r="A22" s="41"/>
      <c r="B22" s="46" t="s">
        <v>37</v>
      </c>
      <c r="C22" s="46" t="s">
        <v>38</v>
      </c>
      <c r="D22" s="46" t="s">
        <v>39</v>
      </c>
      <c r="E22" s="46" t="s">
        <v>40</v>
      </c>
      <c r="F22" s="46" t="s">
        <v>41</v>
      </c>
      <c r="G22" s="46" t="s">
        <v>42</v>
      </c>
    </row>
    <row r="23" spans="1:7" x14ac:dyDescent="0.35">
      <c r="A23" s="50" t="s">
        <v>54</v>
      </c>
      <c r="B23" s="51">
        <f>B3*3%</f>
        <v>120.21</v>
      </c>
      <c r="C23" s="51">
        <f>C3*3%</f>
        <v>134.6352</v>
      </c>
      <c r="D23" s="51">
        <f>D3*3%</f>
        <v>148.09872000000001</v>
      </c>
      <c r="E23" s="51">
        <f>E3*3%</f>
        <v>159.94661760000002</v>
      </c>
      <c r="F23" s="51">
        <f t="shared" ref="F23:G23" si="4">F3*3%</f>
        <v>171.14288083200003</v>
      </c>
      <c r="G23" s="51">
        <f t="shared" si="4"/>
        <v>181.41145368192005</v>
      </c>
    </row>
    <row r="24" spans="1:7" x14ac:dyDescent="0.35">
      <c r="A24" s="50" t="s">
        <v>55</v>
      </c>
      <c r="B24" s="51">
        <f>-(B3*2.5%)</f>
        <v>-100.17500000000001</v>
      </c>
      <c r="C24" s="51">
        <f t="shared" ref="C24:G24" si="5">-(C3*2.5%)</f>
        <v>-112.19600000000001</v>
      </c>
      <c r="D24" s="51">
        <f t="shared" si="5"/>
        <v>-123.41560000000003</v>
      </c>
      <c r="E24" s="51">
        <f t="shared" si="5"/>
        <v>-133.28884800000003</v>
      </c>
      <c r="F24" s="51">
        <f t="shared" si="5"/>
        <v>-142.61906736000003</v>
      </c>
      <c r="G24" s="51">
        <f t="shared" si="5"/>
        <v>-151.17621140160006</v>
      </c>
    </row>
    <row r="25" spans="1:7" x14ac:dyDescent="0.35">
      <c r="A25" s="50" t="s">
        <v>56</v>
      </c>
      <c r="B25" s="51">
        <f>-(B3*1%)</f>
        <v>-40.07</v>
      </c>
      <c r="C25" s="51">
        <f t="shared" ref="C25:G25" si="6">-(C3*1%)</f>
        <v>-44.878399999999999</v>
      </c>
      <c r="D25" s="51">
        <f t="shared" si="6"/>
        <v>-49.366240000000005</v>
      </c>
      <c r="E25" s="51">
        <f t="shared" si="6"/>
        <v>-53.315539200000011</v>
      </c>
      <c r="F25" s="51">
        <f t="shared" si="6"/>
        <v>-57.047626944000015</v>
      </c>
      <c r="G25" s="51">
        <f t="shared" si="6"/>
        <v>-60.470484560640017</v>
      </c>
    </row>
    <row r="26" spans="1:7" x14ac:dyDescent="0.35">
      <c r="A26" s="50" t="s">
        <v>57</v>
      </c>
      <c r="B26" s="52">
        <f>B19+B23+B24+B25</f>
        <v>674.84499999999991</v>
      </c>
      <c r="C26" s="52">
        <f>C19+C23+C24+C25</f>
        <v>780.34561919999987</v>
      </c>
      <c r="D26" s="52">
        <f t="shared" ref="D26:G26" si="7">D19+D23+D24+D25</f>
        <v>858.38018111999986</v>
      </c>
      <c r="E26" s="52">
        <f t="shared" si="7"/>
        <v>1018.7533230336002</v>
      </c>
      <c r="F26" s="52">
        <f t="shared" si="7"/>
        <v>1139.1270148177923</v>
      </c>
      <c r="G26" s="52">
        <f t="shared" si="7"/>
        <v>1311.4838691511607</v>
      </c>
    </row>
    <row r="27" spans="1:7" x14ac:dyDescent="0.35">
      <c r="A27" s="21" t="s">
        <v>53</v>
      </c>
    </row>
    <row r="28" spans="1:7" ht="17.5" x14ac:dyDescent="0.35">
      <c r="A28" s="40" t="s">
        <v>58</v>
      </c>
    </row>
    <row r="29" spans="1:7" x14ac:dyDescent="0.35">
      <c r="A29" s="41"/>
      <c r="B29" s="46" t="s">
        <v>37</v>
      </c>
      <c r="C29" s="46" t="s">
        <v>38</v>
      </c>
      <c r="D29" s="46" t="s">
        <v>39</v>
      </c>
      <c r="E29" s="46" t="s">
        <v>40</v>
      </c>
      <c r="F29" s="46" t="s">
        <v>41</v>
      </c>
      <c r="G29" s="46" t="s">
        <v>42</v>
      </c>
    </row>
    <row r="30" spans="1:7" x14ac:dyDescent="0.35">
      <c r="A30" s="50" t="s">
        <v>89</v>
      </c>
      <c r="B30" s="54">
        <v>0.11</v>
      </c>
      <c r="C30" s="43"/>
      <c r="D30" s="43"/>
      <c r="E30" s="43"/>
      <c r="F30" s="43"/>
      <c r="G30" s="43"/>
    </row>
    <row r="31" spans="1:7" x14ac:dyDescent="0.35">
      <c r="A31" s="50" t="s">
        <v>90</v>
      </c>
      <c r="B31" s="54">
        <v>0.02</v>
      </c>
      <c r="C31" s="43"/>
      <c r="D31" s="43"/>
      <c r="E31" s="43"/>
      <c r="F31" s="43"/>
      <c r="G31" s="43"/>
    </row>
    <row r="32" spans="1:7" ht="14" customHeight="1" x14ac:dyDescent="0.35">
      <c r="A32" s="50" t="s">
        <v>60</v>
      </c>
      <c r="B32" s="55"/>
      <c r="C32" s="43"/>
      <c r="D32" s="43"/>
      <c r="E32" s="43"/>
      <c r="F32" s="43"/>
      <c r="G32" s="43">
        <f>G26*((1+B31)/(B30-B31))</f>
        <v>14863.483850379822</v>
      </c>
    </row>
    <row r="33" spans="1:7" x14ac:dyDescent="0.35">
      <c r="A33" s="50" t="s">
        <v>61</v>
      </c>
      <c r="B33" s="43"/>
      <c r="C33" s="43">
        <f>1/(1+B30)^1</f>
        <v>0.9009009009009008</v>
      </c>
      <c r="D33" s="43">
        <f>1/(1+B30)^2</f>
        <v>0.8116224332440547</v>
      </c>
      <c r="E33" s="43">
        <f>1/(1+B30)^3</f>
        <v>0.73119138130095018</v>
      </c>
      <c r="F33" s="43">
        <f>1/(1+B30)^4</f>
        <v>0.65873097414500015</v>
      </c>
      <c r="G33" s="43">
        <f>1/(1+B30)^5</f>
        <v>0.5934513280585586</v>
      </c>
    </row>
    <row r="34" spans="1:7" x14ac:dyDescent="0.35">
      <c r="A34" s="50" t="s">
        <v>62</v>
      </c>
      <c r="B34" s="43"/>
      <c r="C34" s="43">
        <f>C26*C33</f>
        <v>703.01407135135116</v>
      </c>
      <c r="D34" s="43">
        <f t="shared" ref="D34:G34" si="8">D26*D33</f>
        <v>696.68061124908672</v>
      </c>
      <c r="E34" s="43">
        <f t="shared" si="8"/>
        <v>744.90364947387127</v>
      </c>
      <c r="F34" s="43">
        <f t="shared" si="8"/>
        <v>750.3782481458104</v>
      </c>
      <c r="G34" s="43">
        <f t="shared" si="8"/>
        <v>778.30184387513316</v>
      </c>
    </row>
    <row r="35" spans="1:7" x14ac:dyDescent="0.35">
      <c r="A35" s="50" t="s">
        <v>63</v>
      </c>
      <c r="B35" s="56"/>
      <c r="C35" s="43"/>
      <c r="D35" s="43"/>
      <c r="E35" s="43"/>
      <c r="F35" s="43"/>
      <c r="G35" s="43">
        <f>G32*G33</f>
        <v>8820.7542305848438</v>
      </c>
    </row>
    <row r="36" spans="1:7" x14ac:dyDescent="0.35">
      <c r="A36" s="57" t="s">
        <v>88</v>
      </c>
      <c r="B36" s="58">
        <f>SUM(C34:G34)+G35</f>
        <v>12494.032654680097</v>
      </c>
    </row>
    <row r="37" spans="1:7" x14ac:dyDescent="0.35">
      <c r="A37"/>
      <c r="B37" s="37"/>
    </row>
    <row r="38" spans="1:7" x14ac:dyDescent="0.35">
      <c r="A38"/>
    </row>
    <row r="48" spans="1:7" x14ac:dyDescent="0.35">
      <c r="A48" s="5"/>
    </row>
    <row r="50" spans="1:7" x14ac:dyDescent="0.35">
      <c r="A50" s="5"/>
      <c r="B50" s="26"/>
      <c r="C50" s="26"/>
      <c r="D50" s="26"/>
      <c r="E50" s="26"/>
      <c r="F50" s="26"/>
      <c r="G50" s="26"/>
    </row>
    <row r="51" spans="1:7" x14ac:dyDescent="0.35">
      <c r="B51" s="38"/>
      <c r="C51" s="27"/>
      <c r="D51" s="27"/>
      <c r="E51" s="27"/>
      <c r="F51" s="27"/>
      <c r="G51" s="27"/>
    </row>
    <row r="52" spans="1:7" x14ac:dyDescent="0.35">
      <c r="A52" s="5"/>
    </row>
    <row r="53" spans="1:7" x14ac:dyDescent="0.35">
      <c r="A53" s="5"/>
    </row>
    <row r="54" spans="1:7" x14ac:dyDescent="0.35">
      <c r="A54" s="5"/>
      <c r="B54" s="26"/>
      <c r="C54" s="26"/>
      <c r="D54" s="26"/>
      <c r="E54" s="26"/>
      <c r="F54" s="26"/>
      <c r="G54" s="26"/>
    </row>
    <row r="55" spans="1:7" x14ac:dyDescent="0.35">
      <c r="B55" s="39"/>
      <c r="C55" s="27"/>
      <c r="D55" s="27"/>
      <c r="E55" s="27"/>
      <c r="F55" s="27"/>
      <c r="G55" s="27"/>
    </row>
    <row r="56" spans="1:7" x14ac:dyDescent="0.35">
      <c r="A56" s="27"/>
      <c r="B56" s="39"/>
      <c r="C56" s="27"/>
      <c r="D56" s="27"/>
      <c r="E56" s="27"/>
      <c r="F56" s="27"/>
      <c r="G56" s="27"/>
    </row>
    <row r="57" spans="1:7" x14ac:dyDescent="0.35">
      <c r="A57" s="27"/>
      <c r="B57" s="39"/>
      <c r="C57" s="27"/>
      <c r="D57" s="27"/>
      <c r="E57" s="27"/>
      <c r="F57" s="27"/>
      <c r="G57" s="27"/>
    </row>
    <row r="58" spans="1:7" x14ac:dyDescent="0.35">
      <c r="A58" s="27"/>
      <c r="B58" s="27"/>
      <c r="C58" s="27"/>
      <c r="D58" s="27"/>
      <c r="E58" s="27"/>
      <c r="F58" s="27"/>
      <c r="G58" s="27"/>
    </row>
    <row r="61" spans="1:7" x14ac:dyDescent="0.35">
      <c r="A61" s="26"/>
      <c r="B61" s="26"/>
      <c r="C61" s="26"/>
      <c r="D61" s="26"/>
      <c r="E61" s="26"/>
      <c r="F61" s="26"/>
      <c r="G61" s="26"/>
    </row>
    <row r="62" spans="1:7" x14ac:dyDescent="0.35">
      <c r="A62" s="27"/>
      <c r="B62" s="27"/>
      <c r="C62" s="27"/>
      <c r="D62" s="27"/>
      <c r="E62" s="27"/>
      <c r="F62" s="27"/>
      <c r="G62" s="27"/>
    </row>
    <row r="63" spans="1:7" x14ac:dyDescent="0.35">
      <c r="A63" s="27"/>
      <c r="B63" s="37"/>
      <c r="C63" s="37"/>
      <c r="D63" s="37"/>
      <c r="E63" s="37"/>
      <c r="F63" s="37"/>
      <c r="G63" s="37"/>
    </row>
    <row r="64" spans="1:7" x14ac:dyDescent="0.35">
      <c r="A64" s="27"/>
      <c r="B64" s="27"/>
      <c r="C64" s="27"/>
      <c r="D64" s="27"/>
      <c r="E64" s="27"/>
      <c r="F64" s="27"/>
      <c r="G64" s="27"/>
    </row>
    <row r="69" spans="1:7" x14ac:dyDescent="0.35">
      <c r="A69" s="24"/>
    </row>
    <row r="70" spans="1:7" x14ac:dyDescent="0.35">
      <c r="B70"/>
      <c r="C70"/>
      <c r="D70"/>
      <c r="E70"/>
      <c r="F70"/>
      <c r="G70"/>
    </row>
    <row r="71" spans="1:7" x14ac:dyDescent="0.35">
      <c r="A71"/>
      <c r="B71"/>
      <c r="C71"/>
      <c r="D71"/>
      <c r="E71"/>
      <c r="F71"/>
      <c r="G71"/>
    </row>
    <row r="72" spans="1:7" x14ac:dyDescent="0.35">
      <c r="A72" s="18"/>
      <c r="B72" s="18"/>
      <c r="C72" s="18"/>
      <c r="D72" s="18"/>
      <c r="E72" s="18"/>
      <c r="F72" s="18"/>
      <c r="G72" s="18"/>
    </row>
    <row r="73" spans="1:7" x14ac:dyDescent="0.35">
      <c r="A73" s="19"/>
      <c r="B73" s="20"/>
      <c r="C73" s="19"/>
      <c r="D73" s="19"/>
      <c r="E73" s="19"/>
      <c r="F73" s="19"/>
      <c r="G73" s="19"/>
    </row>
    <row r="74" spans="1:7" x14ac:dyDescent="0.35">
      <c r="A74"/>
      <c r="B74"/>
      <c r="C74"/>
      <c r="D74"/>
      <c r="E74"/>
      <c r="F74"/>
      <c r="G74"/>
    </row>
    <row r="75" spans="1:7" x14ac:dyDescent="0.35">
      <c r="A75" s="21"/>
      <c r="B75"/>
      <c r="C75"/>
      <c r="D75"/>
      <c r="E75"/>
      <c r="F75"/>
      <c r="G75"/>
    </row>
    <row r="76" spans="1:7" x14ac:dyDescent="0.35">
      <c r="A76"/>
      <c r="B76"/>
      <c r="C76"/>
      <c r="D76"/>
      <c r="E76"/>
      <c r="F76"/>
      <c r="G76"/>
    </row>
    <row r="77" spans="1:7" x14ac:dyDescent="0.35">
      <c r="A77"/>
      <c r="B77"/>
      <c r="C77"/>
      <c r="D77"/>
      <c r="E77"/>
      <c r="F77"/>
      <c r="G77"/>
    </row>
    <row r="78" spans="1:7" x14ac:dyDescent="0.35">
      <c r="A78"/>
      <c r="B78"/>
      <c r="C78"/>
      <c r="D78"/>
      <c r="E78"/>
      <c r="F78"/>
      <c r="G78"/>
    </row>
    <row r="94" spans="1:7" x14ac:dyDescent="0.35">
      <c r="A94"/>
      <c r="B94"/>
      <c r="C94"/>
      <c r="D94"/>
      <c r="E94"/>
      <c r="F94"/>
      <c r="G94"/>
    </row>
    <row r="95" spans="1:7" x14ac:dyDescent="0.35">
      <c r="A95"/>
      <c r="B95"/>
      <c r="C95"/>
      <c r="D95"/>
      <c r="E95"/>
      <c r="F95"/>
      <c r="G95"/>
    </row>
    <row r="96" spans="1:7" x14ac:dyDescent="0.35">
      <c r="B96"/>
      <c r="C96"/>
      <c r="D96"/>
      <c r="E96"/>
      <c r="F96"/>
      <c r="G96"/>
    </row>
    <row r="97" spans="2:7" x14ac:dyDescent="0.35">
      <c r="B97"/>
      <c r="C97"/>
      <c r="D97"/>
      <c r="E97"/>
      <c r="F97"/>
      <c r="G97"/>
    </row>
    <row r="98" spans="2:7" x14ac:dyDescent="0.35">
      <c r="B98"/>
      <c r="C98"/>
      <c r="D98"/>
      <c r="E98"/>
      <c r="F98"/>
      <c r="G98"/>
    </row>
    <row r="99" spans="2:7" x14ac:dyDescent="0.35">
      <c r="B99"/>
      <c r="C99"/>
      <c r="D99"/>
      <c r="E99"/>
      <c r="F99"/>
      <c r="G99"/>
    </row>
    <row r="100" spans="2:7" x14ac:dyDescent="0.35">
      <c r="B100"/>
      <c r="C100"/>
      <c r="D100"/>
      <c r="E100"/>
      <c r="F100"/>
      <c r="G100"/>
    </row>
    <row r="101" spans="2:7" x14ac:dyDescent="0.35">
      <c r="B101"/>
      <c r="C101"/>
      <c r="D101"/>
      <c r="E101"/>
      <c r="F101"/>
      <c r="G101"/>
    </row>
    <row r="102" spans="2:7" x14ac:dyDescent="0.35">
      <c r="B102"/>
      <c r="C102"/>
      <c r="D102"/>
      <c r="E102"/>
      <c r="F102"/>
      <c r="G102"/>
    </row>
    <row r="103" spans="2:7" x14ac:dyDescent="0.35">
      <c r="B103"/>
      <c r="C103"/>
      <c r="D103"/>
      <c r="E103"/>
      <c r="F103"/>
      <c r="G103"/>
    </row>
    <row r="104" spans="2:7" x14ac:dyDescent="0.35">
      <c r="B104"/>
      <c r="C104"/>
      <c r="D104"/>
      <c r="E104"/>
      <c r="F104"/>
      <c r="G104"/>
    </row>
    <row r="105" spans="2:7" x14ac:dyDescent="0.35">
      <c r="B105"/>
      <c r="C105"/>
      <c r="D105"/>
      <c r="E105"/>
      <c r="F105"/>
      <c r="G105"/>
    </row>
    <row r="106" spans="2:7" x14ac:dyDescent="0.35">
      <c r="B106"/>
      <c r="C106"/>
      <c r="D106"/>
      <c r="E106"/>
      <c r="F106"/>
      <c r="G106"/>
    </row>
    <row r="107" spans="2:7" x14ac:dyDescent="0.35">
      <c r="B107"/>
      <c r="C107"/>
      <c r="D107"/>
      <c r="E107"/>
      <c r="F107"/>
      <c r="G107"/>
    </row>
    <row r="108" spans="2:7" x14ac:dyDescent="0.35">
      <c r="B108"/>
      <c r="C108"/>
      <c r="D108"/>
      <c r="E108"/>
      <c r="F108"/>
      <c r="G108"/>
    </row>
    <row r="109" spans="2:7" x14ac:dyDescent="0.35">
      <c r="B109"/>
      <c r="C109"/>
      <c r="D109"/>
      <c r="E109"/>
      <c r="F109"/>
      <c r="G109"/>
    </row>
    <row r="110" spans="2:7" x14ac:dyDescent="0.35">
      <c r="B110"/>
      <c r="C110"/>
      <c r="D110"/>
      <c r="E110"/>
      <c r="F110"/>
      <c r="G110"/>
    </row>
    <row r="111" spans="2:7" x14ac:dyDescent="0.35">
      <c r="B111"/>
      <c r="C111"/>
      <c r="D111"/>
      <c r="E111"/>
      <c r="F111"/>
      <c r="G111"/>
    </row>
    <row r="112" spans="2:7" x14ac:dyDescent="0.35">
      <c r="B112"/>
      <c r="C112"/>
      <c r="D112"/>
      <c r="E112"/>
      <c r="F112"/>
      <c r="G112"/>
    </row>
    <row r="113" spans="2:7" x14ac:dyDescent="0.35">
      <c r="B113"/>
      <c r="C113"/>
      <c r="D113"/>
      <c r="E113"/>
      <c r="F113"/>
      <c r="G113"/>
    </row>
    <row r="114" spans="2:7" x14ac:dyDescent="0.35">
      <c r="B114"/>
      <c r="C114"/>
      <c r="D114"/>
      <c r="E114"/>
      <c r="F114"/>
      <c r="G114"/>
    </row>
    <row r="115" spans="2:7" x14ac:dyDescent="0.35">
      <c r="B115"/>
      <c r="C115"/>
      <c r="D115"/>
      <c r="E115"/>
      <c r="F115"/>
      <c r="G115"/>
    </row>
    <row r="116" spans="2:7" x14ac:dyDescent="0.35">
      <c r="B116"/>
      <c r="C116"/>
      <c r="D116"/>
      <c r="E116"/>
      <c r="F116"/>
      <c r="G116"/>
    </row>
    <row r="117" spans="2:7" x14ac:dyDescent="0.35">
      <c r="B117"/>
      <c r="C117"/>
      <c r="D117"/>
      <c r="E117"/>
      <c r="F117"/>
      <c r="G117"/>
    </row>
    <row r="118" spans="2:7" x14ac:dyDescent="0.35">
      <c r="B118"/>
      <c r="C118"/>
      <c r="D118"/>
      <c r="E118"/>
      <c r="F118"/>
      <c r="G118"/>
    </row>
    <row r="119" spans="2:7" x14ac:dyDescent="0.35">
      <c r="B119"/>
      <c r="C119"/>
      <c r="D119"/>
      <c r="E119"/>
      <c r="F119"/>
      <c r="G119"/>
    </row>
    <row r="120" spans="2:7" x14ac:dyDescent="0.35">
      <c r="B120"/>
      <c r="C120"/>
      <c r="D120"/>
      <c r="E120"/>
      <c r="F120"/>
      <c r="G120"/>
    </row>
    <row r="121" spans="2:7" x14ac:dyDescent="0.35">
      <c r="B121"/>
      <c r="C121"/>
      <c r="D121"/>
      <c r="E121"/>
      <c r="F121"/>
      <c r="G121"/>
    </row>
    <row r="122" spans="2:7" x14ac:dyDescent="0.35">
      <c r="B122"/>
      <c r="C122"/>
      <c r="D122"/>
      <c r="E122"/>
      <c r="F122"/>
      <c r="G122"/>
    </row>
    <row r="123" spans="2:7" x14ac:dyDescent="0.35">
      <c r="B123"/>
      <c r="C123"/>
      <c r="D123"/>
      <c r="E123"/>
      <c r="F123"/>
      <c r="G123"/>
    </row>
    <row r="124" spans="2:7" x14ac:dyDescent="0.35">
      <c r="B124"/>
      <c r="C124"/>
      <c r="D124"/>
      <c r="E124"/>
      <c r="F124"/>
      <c r="G124"/>
    </row>
    <row r="125" spans="2:7" x14ac:dyDescent="0.35">
      <c r="B125"/>
      <c r="C125"/>
      <c r="D125"/>
      <c r="E125"/>
      <c r="F125"/>
      <c r="G125"/>
    </row>
    <row r="126" spans="2:7" x14ac:dyDescent="0.35">
      <c r="B126"/>
      <c r="C126"/>
      <c r="D126"/>
      <c r="E126"/>
      <c r="F126"/>
      <c r="G126"/>
    </row>
    <row r="127" spans="2:7" x14ac:dyDescent="0.35">
      <c r="B127"/>
      <c r="C127"/>
      <c r="D127"/>
      <c r="E127"/>
      <c r="F127"/>
      <c r="G127"/>
    </row>
    <row r="128" spans="2:7" x14ac:dyDescent="0.35">
      <c r="B128"/>
      <c r="C128"/>
      <c r="D128"/>
      <c r="E128"/>
      <c r="F128"/>
      <c r="G128"/>
    </row>
    <row r="129" spans="2:7" x14ac:dyDescent="0.35">
      <c r="B129"/>
      <c r="C129"/>
      <c r="D129"/>
      <c r="E129"/>
      <c r="F129"/>
      <c r="G129"/>
    </row>
    <row r="130" spans="2:7" x14ac:dyDescent="0.35">
      <c r="B130"/>
      <c r="C130"/>
      <c r="D130"/>
      <c r="E130"/>
      <c r="F130"/>
      <c r="G1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5"/>
  <sheetViews>
    <sheetView zoomScale="85" workbookViewId="0">
      <selection activeCell="E6" sqref="E6"/>
    </sheetView>
  </sheetViews>
  <sheetFormatPr defaultRowHeight="14.5" x14ac:dyDescent="0.35"/>
  <cols>
    <col min="1" max="1" width="63.54296875" bestFit="1" customWidth="1"/>
    <col min="2" max="2" width="11.36328125" bestFit="1" customWidth="1"/>
  </cols>
  <sheetData>
    <row r="1" spans="1:6" s="22" customFormat="1" ht="18.5" x14ac:dyDescent="0.45">
      <c r="A1" s="63" t="s">
        <v>93</v>
      </c>
    </row>
    <row r="2" spans="1:6" x14ac:dyDescent="0.35">
      <c r="A2" s="46" t="s">
        <v>94</v>
      </c>
      <c r="B2" s="64">
        <v>0.02</v>
      </c>
      <c r="C2" s="65">
        <v>2.5000000000000001E-2</v>
      </c>
      <c r="D2" s="66">
        <v>0.03</v>
      </c>
      <c r="E2" s="65">
        <v>3.5000000000000003E-2</v>
      </c>
      <c r="F2" s="65">
        <v>0.04</v>
      </c>
    </row>
    <row r="3" spans="1:6" x14ac:dyDescent="0.35">
      <c r="A3" s="65">
        <v>8.5000000000000006E-2</v>
      </c>
      <c r="B3" s="53">
        <f xml:space="preserve"> (DCF_ARM!C26/(1+A3)^1)
+ (DCF_ARM!D26/(1+A3)^2)
+ (DCF_ARM!E26/(1+A3)^3)
+ (DCF_ARM!F26/(1+A3)^4)
+ (DCF_ARM!G26/(1+A3)^5)
+ ( (DCF_ARM!G26*(1+B2)/(A3-B2)) / (1+A3)^5 )</f>
        <v>28689.184651488045</v>
      </c>
      <c r="C3" s="53">
        <f xml:space="preserve"> (DCF_ARM!C26/(1+A3)^1)
+ (DCF_ARM!D26/(1+A3)^2)
+ (DCF_ARM!E26/(1+A3)^3)
+ (DCF_ARM!F26/(1+A3)^4)
+ (DCF_ARM!G26/(1+A3)^5)
+ ( (DCF_ARM!G26*(1+C2)/(A3-C2)) / (1+A3)^5 )</f>
        <v>30723.235951982402</v>
      </c>
      <c r="D3" s="53">
        <f xml:space="preserve"> (DCF_ARM!C26/(1+A3)^1)
+ (DCF_ARM!D26/(1+A3)^2)
+ (DCF_ARM!E26/(1+A3)^3)
+ (DCF_ARM!F26/(1+A3)^4)
+ (DCF_ARM!G26/(1+A3)^5)
+ ( (DCF_ARM!G26*(1+D2)/(A3-D2)) / (1+A3)^5 )</f>
        <v>33127.114761657547</v>
      </c>
      <c r="E3" s="53">
        <f xml:space="preserve"> (DCF_ARM!C26/(1+A3)^1)
+ (DCF_ARM!D26/(1+A3)^2)
+ (DCF_ARM!E26/(1+A3)^3)
+ (DCF_ARM!F26/(1+A3)^4)
+ (DCF_ARM!G26/(1+A3)^5)
+ ( (DCF_ARM!G26*(1+E2)/(A3-E2)) / (1+A3)^5 )</f>
        <v>36011.769333267708</v>
      </c>
      <c r="F3" s="53">
        <f xml:space="preserve"> (DCF_ARM!C26/(1+A3)^1)
+ (DCF_ARM!D26/(1+A3)^2)
+ (DCF_ARM!E26/(1+A3)^3)
+ (DCF_ARM!F26/(1+A3)^4)
+ (DCF_ARM!G26/(1+A3)^5)
+ ( (DCF_ARM!G26*(1+F2)/(A3-F2)) / (1+A3)^5 )</f>
        <v>39537.458254124584</v>
      </c>
    </row>
    <row r="4" spans="1:6" x14ac:dyDescent="0.35">
      <c r="A4" s="65">
        <v>0.09</v>
      </c>
      <c r="B4" s="53">
        <f xml:space="preserve"> (DCF_ARM!C26/(1+A4)^1)
+ (DCF_ARM!D26/(1+A4)^2)
+ (DCF_ARM!E26/(1+A4)^3)
+ (DCF_ARM!F26/(1+A4)^4)
+ (DCF_ARM!G26/(1+A4)^5)
+ ( (DCF_ARM!G26*(1+B2)/(A4-B2)) / (1+A4)^5 )</f>
        <v>26479.913895647958</v>
      </c>
      <c r="C4" s="53">
        <f xml:space="preserve"> (DCF_ARM!C26/(1+A4)^1)
+ (DCF_ARM!D26/(1+A4)^2)
+ (DCF_ARM!E26/(1+A4)^3)
+ (DCF_ARM!F26/(1+A4)^4)
+ (DCF_ARM!G26/(1+A4)^5)
+ ( (DCF_ARM!G26*(1+C2)/(A4-C2)) / (1+A4)^5 )</f>
        <v>28191.615561559134</v>
      </c>
      <c r="D4" s="53">
        <f xml:space="preserve"> (DCF_ARM!C26/(1+A4)^1)
+ (DCF_ARM!D26/(1+A4)^2)
+ (DCF_ARM!E26/(1+A4)^3)
+ (DCF_ARM!F26/(1+A4)^4)
+ (DCF_ARM!G26/(1+A4)^5)
+ ( (DCF_ARM!G26*(1+D2)/(A4-D2)) / (1+A4)^5 )</f>
        <v>30188.600838455524</v>
      </c>
      <c r="E4" s="53">
        <v>32548.69</v>
      </c>
      <c r="F4" s="53">
        <v>35380.79</v>
      </c>
    </row>
    <row r="5" spans="1:6" x14ac:dyDescent="0.35">
      <c r="A5" s="65">
        <v>0.1</v>
      </c>
      <c r="B5" s="53">
        <f xml:space="preserve"> (DCF_ARM!C26/(1+A5)^1)
+ (DCF_ARM!D26/(1+A5)^2)
+ (DCF_ARM!E26/(1+A5)^3)
+ (DCF_ARM!F26/(1+A5)^4)
+ (DCF_ARM!G26/(1+A5)^5)
+ ( (DCF_ARM!G26*(1+B2)/(A5-B2)) / (1+A5)^5 )</f>
        <v>22897.377271771053</v>
      </c>
      <c r="C5" s="53">
        <f xml:space="preserve"> (DCF_ARM!C26/(1+A5)^1)
+ (DCF_ARM!D26/(1+A5)^2)
+ (DCF_ARM!E26/(1+A5)^3)
+ (DCF_ARM!F26/(1+A5)^4)
+ (DCF_ARM!G26/(1+A5)^5)
+ ( (DCF_ARM!G26*(1+C2)/(A5-C2)) / (1+A5)^5 )</f>
        <v>24148.855995901911</v>
      </c>
      <c r="D5" s="53">
        <f xml:space="preserve"> (DCF_ARM!C26/(1+A5)^1)
+ (DCF_ARM!D26/(1+A5)^2)
+ (DCF_ARM!E26/(1+A5)^3)
+ (DCF_ARM!F26/(1+A5)^4)
+ (DCF_ARM!G26/(1+A5)^5)
+ ( (DCF_ARM!G26*(1+D2)/(A5-D2)) / (1+A5)^5 )</f>
        <v>25579.117394908619</v>
      </c>
      <c r="E5" s="53">
        <v>28722.942999999999</v>
      </c>
      <c r="F5" s="53">
        <v>29154.79</v>
      </c>
    </row>
    <row r="6" spans="1:6" x14ac:dyDescent="0.35">
      <c r="A6" s="65">
        <v>0.11</v>
      </c>
      <c r="B6" s="53">
        <f xml:space="preserve"> (DCF_ARM!C26/(1+A6)^1)
+ (DCF_ARM!D26/(1+A6)^2)
+ (DCF_ARM!E26/(1+A6)^3)
+ (DCF_ARM!F26/(1+A6)^4)
+ (DCF_ARM!G26/(1+A6)^5)
+ ( (DCF_ARM!G26*(1+B2)/(A6-B2)) / (1+A6)^5 )</f>
        <v>20119.536294732818</v>
      </c>
      <c r="C6" s="53">
        <v>21066.2</v>
      </c>
      <c r="D6" s="53">
        <v>22131.19</v>
      </c>
      <c r="E6" s="53">
        <v>23338.18</v>
      </c>
      <c r="F6" s="53">
        <v>24717.59</v>
      </c>
    </row>
    <row r="7" spans="1:6" x14ac:dyDescent="0.35">
      <c r="A7" s="65">
        <v>0.12</v>
      </c>
      <c r="B7" s="53">
        <f xml:space="preserve"> (DCF_ARM!C26/(1+A7)^1)
+ (DCF_ARM!D26/(1+A7)^2)
+ (DCF_ARM!E26/(1+A7)^3)
+ (DCF_ARM!F26/(1+A7)^4)
+ (DCF_ARM!G26/(1+A7)^5)
+ ( (DCF_ARM!G26*(1+B2)/(A7-B2)) / (1+A7)^5 )</f>
        <v>17904.626883053286</v>
      </c>
      <c r="C7" s="53">
        <v>18640.080000000002</v>
      </c>
      <c r="D7" s="53">
        <v>19457.240000000002</v>
      </c>
      <c r="E7" s="53">
        <v>20370.54</v>
      </c>
      <c r="F7" s="53">
        <v>21397.99</v>
      </c>
    </row>
    <row r="9" spans="1:6" ht="17.5" x14ac:dyDescent="0.4">
      <c r="A9" s="63" t="s">
        <v>96</v>
      </c>
    </row>
    <row r="10" spans="1:6" x14ac:dyDescent="0.35">
      <c r="A10" s="45" t="s">
        <v>95</v>
      </c>
      <c r="B10" s="68">
        <v>0.25</v>
      </c>
      <c r="C10" s="68">
        <v>0.27</v>
      </c>
      <c r="D10" s="68">
        <v>0.28999999999999998</v>
      </c>
      <c r="E10" s="68">
        <v>0.31</v>
      </c>
      <c r="F10" s="68">
        <v>0.33</v>
      </c>
    </row>
    <row r="11" spans="1:6" x14ac:dyDescent="0.35">
      <c r="A11" s="67">
        <v>0.12</v>
      </c>
      <c r="B11" s="2">
        <v>24434.42</v>
      </c>
      <c r="C11" s="2">
        <v>24935.58</v>
      </c>
      <c r="D11" s="2">
        <v>25445.279999999999</v>
      </c>
      <c r="E11" s="2">
        <v>25963.63</v>
      </c>
      <c r="F11" s="2">
        <v>26490.74</v>
      </c>
    </row>
    <row r="12" spans="1:6" x14ac:dyDescent="0.35">
      <c r="A12" s="67">
        <v>0.14000000000000001</v>
      </c>
      <c r="B12" s="2">
        <v>24935.58</v>
      </c>
      <c r="C12" s="2">
        <v>25446.16</v>
      </c>
      <c r="D12" s="2">
        <v>25965.29</v>
      </c>
      <c r="E12" s="2">
        <v>26493.08</v>
      </c>
      <c r="F12" s="2">
        <v>27029.64</v>
      </c>
    </row>
    <row r="13" spans="1:6" x14ac:dyDescent="0.35">
      <c r="A13" s="67">
        <v>0.16</v>
      </c>
      <c r="B13" s="2">
        <v>25445.279999999999</v>
      </c>
      <c r="C13" s="2">
        <v>25965.29</v>
      </c>
      <c r="D13" s="2">
        <v>26493.08</v>
      </c>
      <c r="E13" s="2">
        <v>27028.94</v>
      </c>
      <c r="F13" s="2">
        <v>27572.87</v>
      </c>
    </row>
    <row r="14" spans="1:6" x14ac:dyDescent="0.35">
      <c r="A14" s="67">
        <v>0.18</v>
      </c>
      <c r="B14" s="2">
        <v>25963.63</v>
      </c>
      <c r="C14" s="2">
        <v>26493.08</v>
      </c>
      <c r="D14" s="2">
        <v>27028.94</v>
      </c>
      <c r="E14" s="2">
        <v>27572.87</v>
      </c>
      <c r="F14" s="2">
        <v>28124.880000000001</v>
      </c>
    </row>
    <row r="15" spans="1:6" x14ac:dyDescent="0.35">
      <c r="A15" s="67">
        <v>0.2</v>
      </c>
      <c r="B15" s="2">
        <v>26490.74</v>
      </c>
      <c r="C15" s="2">
        <v>27029.64</v>
      </c>
      <c r="D15" s="2">
        <v>27572.87</v>
      </c>
      <c r="E15" s="2">
        <v>28124.880000000001</v>
      </c>
      <c r="F15" s="2">
        <v>28684.87</v>
      </c>
    </row>
  </sheetData>
  <conditionalFormatting sqref="B3:F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F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1"/>
  <sheetViews>
    <sheetView tabSelected="1" topLeftCell="A17" zoomScale="93" workbookViewId="0">
      <selection activeCell="A35" sqref="A35"/>
    </sheetView>
  </sheetViews>
  <sheetFormatPr defaultRowHeight="14.5" x14ac:dyDescent="0.35"/>
  <cols>
    <col min="1" max="1" width="41.7265625" bestFit="1" customWidth="1"/>
  </cols>
  <sheetData>
    <row r="1" spans="1:4" ht="18.5" x14ac:dyDescent="0.45">
      <c r="A1" s="69" t="s">
        <v>108</v>
      </c>
    </row>
    <row r="2" spans="1:4" x14ac:dyDescent="0.35">
      <c r="A2" s="73" t="s">
        <v>101</v>
      </c>
      <c r="B2" s="73" t="s">
        <v>70</v>
      </c>
      <c r="C2" s="73" t="s">
        <v>71</v>
      </c>
      <c r="D2" s="73" t="s">
        <v>72</v>
      </c>
    </row>
    <row r="3" spans="1:4" x14ac:dyDescent="0.35">
      <c r="A3" s="74">
        <v>2025</v>
      </c>
      <c r="B3" s="75">
        <v>4007</v>
      </c>
      <c r="C3" s="75">
        <v>4007</v>
      </c>
      <c r="D3" s="75">
        <v>4007</v>
      </c>
    </row>
    <row r="4" spans="1:4" x14ac:dyDescent="0.35">
      <c r="A4" s="74">
        <v>2026</v>
      </c>
      <c r="B4" s="75">
        <v>4808</v>
      </c>
      <c r="C4" s="75">
        <v>5009</v>
      </c>
      <c r="D4" s="75">
        <v>4488</v>
      </c>
    </row>
    <row r="5" spans="1:4" x14ac:dyDescent="0.35">
      <c r="A5" s="74">
        <v>2027</v>
      </c>
      <c r="B5" s="75">
        <v>5673</v>
      </c>
      <c r="C5" s="75">
        <v>6161</v>
      </c>
      <c r="D5" s="75">
        <v>4937</v>
      </c>
    </row>
    <row r="6" spans="1:4" x14ac:dyDescent="0.35">
      <c r="A6" s="74">
        <v>2028</v>
      </c>
      <c r="B6" s="75">
        <v>6579</v>
      </c>
      <c r="C6" s="75">
        <v>7393</v>
      </c>
      <c r="D6" s="75">
        <v>5332</v>
      </c>
    </row>
    <row r="7" spans="1:4" x14ac:dyDescent="0.35">
      <c r="A7" s="74">
        <v>2029</v>
      </c>
      <c r="B7" s="75">
        <v>7505</v>
      </c>
      <c r="C7" s="75">
        <v>8724</v>
      </c>
      <c r="D7" s="75">
        <v>5705</v>
      </c>
    </row>
    <row r="8" spans="1:4" x14ac:dyDescent="0.35">
      <c r="A8" s="74">
        <v>2030</v>
      </c>
      <c r="B8" s="75">
        <v>8405</v>
      </c>
      <c r="C8" s="75">
        <v>10119</v>
      </c>
      <c r="D8" s="75">
        <v>6047</v>
      </c>
    </row>
    <row r="10" spans="1:4" ht="18.5" x14ac:dyDescent="0.45">
      <c r="A10" s="69" t="s">
        <v>102</v>
      </c>
    </row>
    <row r="11" spans="1:4" x14ac:dyDescent="0.35">
      <c r="A11" s="46" t="s">
        <v>101</v>
      </c>
      <c r="B11" s="46" t="s">
        <v>70</v>
      </c>
      <c r="C11" s="46" t="s">
        <v>71</v>
      </c>
      <c r="D11" s="46" t="s">
        <v>72</v>
      </c>
    </row>
    <row r="12" spans="1:4" x14ac:dyDescent="0.35">
      <c r="A12" s="70">
        <v>2025</v>
      </c>
      <c r="B12" s="53">
        <v>674.85</v>
      </c>
      <c r="C12" s="53">
        <v>674.85</v>
      </c>
      <c r="D12" s="53">
        <v>674.85</v>
      </c>
    </row>
    <row r="13" spans="1:4" x14ac:dyDescent="0.35">
      <c r="A13" s="70">
        <v>2026</v>
      </c>
      <c r="B13" s="53">
        <v>885.63</v>
      </c>
      <c r="C13" s="53">
        <v>1060.45</v>
      </c>
      <c r="D13" s="53">
        <v>780.35</v>
      </c>
    </row>
    <row r="14" spans="1:4" x14ac:dyDescent="0.35">
      <c r="A14" s="70">
        <v>2027</v>
      </c>
      <c r="B14" s="53">
        <v>1142.54</v>
      </c>
      <c r="C14" s="53">
        <v>1410.32</v>
      </c>
      <c r="D14" s="53">
        <v>858.38</v>
      </c>
    </row>
    <row r="15" spans="1:4" x14ac:dyDescent="0.35">
      <c r="A15" s="70">
        <v>2028</v>
      </c>
      <c r="B15" s="53">
        <v>1494.75</v>
      </c>
      <c r="C15" s="53">
        <v>1883.12</v>
      </c>
      <c r="D15" s="53">
        <v>1018.75</v>
      </c>
    </row>
    <row r="16" spans="1:4" x14ac:dyDescent="0.35">
      <c r="A16" s="70">
        <v>2029</v>
      </c>
      <c r="B16" s="53">
        <v>1834.22</v>
      </c>
      <c r="C16" s="53">
        <v>2447.16</v>
      </c>
      <c r="D16" s="53">
        <v>1139.1300000000001</v>
      </c>
    </row>
    <row r="17" spans="1:4" x14ac:dyDescent="0.35">
      <c r="A17" s="70">
        <v>2030</v>
      </c>
      <c r="B17" s="53">
        <v>2198.75</v>
      </c>
      <c r="C17" s="53">
        <v>3012.75</v>
      </c>
      <c r="D17" s="53">
        <v>1311.48</v>
      </c>
    </row>
    <row r="19" spans="1:4" ht="18.5" x14ac:dyDescent="0.45">
      <c r="A19" s="69" t="s">
        <v>103</v>
      </c>
    </row>
    <row r="20" spans="1:4" x14ac:dyDescent="0.35">
      <c r="A20" s="46" t="s">
        <v>107</v>
      </c>
      <c r="B20" s="46" t="s">
        <v>0</v>
      </c>
    </row>
    <row r="21" spans="1:4" x14ac:dyDescent="0.35">
      <c r="A21" s="53" t="s">
        <v>104</v>
      </c>
      <c r="B21" s="71">
        <v>5490.47</v>
      </c>
    </row>
    <row r="22" spans="1:4" x14ac:dyDescent="0.35">
      <c r="A22" s="53" t="s">
        <v>105</v>
      </c>
      <c r="B22" s="71">
        <v>20088.669999999998</v>
      </c>
    </row>
    <row r="24" spans="1:4" ht="18.5" x14ac:dyDescent="0.45">
      <c r="A24" s="69" t="s">
        <v>106</v>
      </c>
    </row>
    <row r="25" spans="1:4" x14ac:dyDescent="0.35">
      <c r="A25" s="46" t="s">
        <v>101</v>
      </c>
      <c r="B25" s="46" t="s">
        <v>70</v>
      </c>
      <c r="C25" s="46" t="s">
        <v>71</v>
      </c>
      <c r="D25" s="46" t="s">
        <v>72</v>
      </c>
    </row>
    <row r="26" spans="1:4" x14ac:dyDescent="0.35">
      <c r="A26" s="70">
        <v>2025</v>
      </c>
      <c r="B26" s="72">
        <v>0.2016</v>
      </c>
      <c r="C26" s="72">
        <v>0.2016</v>
      </c>
      <c r="D26" s="72">
        <v>0.2016</v>
      </c>
    </row>
    <row r="27" spans="1:4" x14ac:dyDescent="0.35">
      <c r="A27" s="70">
        <v>2026</v>
      </c>
      <c r="B27" s="72">
        <v>0.21990000000000001</v>
      </c>
      <c r="C27" s="72">
        <v>0.252</v>
      </c>
      <c r="D27" s="72">
        <v>0.20799999999999999</v>
      </c>
    </row>
    <row r="28" spans="1:4" x14ac:dyDescent="0.35">
      <c r="A28" s="70">
        <v>2027</v>
      </c>
      <c r="B28" s="72">
        <v>0.24</v>
      </c>
      <c r="C28" s="72">
        <v>0.27200000000000002</v>
      </c>
      <c r="D28" s="72">
        <v>0.20799999999999999</v>
      </c>
    </row>
    <row r="29" spans="1:4" x14ac:dyDescent="0.35">
      <c r="A29" s="70">
        <v>2028</v>
      </c>
      <c r="B29" s="72">
        <v>0.27</v>
      </c>
      <c r="C29" s="72">
        <v>0.30199999999999999</v>
      </c>
      <c r="D29" s="72">
        <v>0.22800000000000001</v>
      </c>
    </row>
    <row r="30" spans="1:4" x14ac:dyDescent="0.35">
      <c r="A30" s="70">
        <v>2029</v>
      </c>
      <c r="B30" s="72">
        <v>0.28999999999999998</v>
      </c>
      <c r="C30" s="72">
        <v>0.33200000000000002</v>
      </c>
      <c r="D30" s="72">
        <v>0.23799999999999999</v>
      </c>
    </row>
    <row r="31" spans="1:4" x14ac:dyDescent="0.35">
      <c r="A31" s="70">
        <v>2030</v>
      </c>
      <c r="B31" s="72">
        <v>0.31</v>
      </c>
      <c r="C31" s="72">
        <v>0.35199999999999998</v>
      </c>
      <c r="D31" s="72">
        <v>0.25800000000000001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Cover_Version</vt:lpstr>
      <vt:lpstr>Assumptions</vt:lpstr>
      <vt:lpstr>RawFin_NVIDIA</vt:lpstr>
      <vt:lpstr>RawFin_ARM</vt:lpstr>
      <vt:lpstr>DCF_ARM</vt:lpstr>
      <vt:lpstr>BULL_DCF</vt:lpstr>
      <vt:lpstr>BEAR_DCF</vt:lpstr>
      <vt:lpstr>Sensitivity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ghosal</cp:lastModifiedBy>
  <dcterms:created xsi:type="dcterms:W3CDTF">2025-12-02T23:52:59Z</dcterms:created>
  <dcterms:modified xsi:type="dcterms:W3CDTF">2025-12-07T01:14:14Z</dcterms:modified>
</cp:coreProperties>
</file>